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alculations" sheetId="2" state="visible" r:id="rId4"/>
    <sheet name="Sources &amp; Uses" sheetId="3" state="visible" r:id="rId5"/>
    <sheet name="Sensitivity" sheetId="4" state="visible" r:id="rId6"/>
    <sheet name="Leverage" sheetId="5" state="visible" r:id="rId7"/>
    <sheet name="⚙ PQ_Setup" sheetId="6" state="visible" r:id="rId8"/>
  </sheets>
  <definedNames>
    <definedName function="false" hidden="false" localSheetId="2" name="_xlnm.Print_Area" vbProcedure="false">'Sources &amp; Uses'!$A$1:$G$24</definedName>
    <definedName function="false" hidden="false" name="OutputTable" vbProcedure="false">Calculations!$A$43:$G$58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<sst xmlns="http://schemas.openxmlformats.org/spreadsheetml/2006/main" count="271" uniqueCount="228">
  <si>
    <t xml:space="preserve">SOURCES &amp; USES MODEL — INPUTS</t>
  </si>
  <si>
    <t xml:space="preserve">Hypothetical M&amp;A deal: Kotak Mahindra Bank (Acquirer) acquires IDFC First Bank (Target)  |  All financials in ₹ Crore  |  FY2026 actuals</t>
  </si>
  <si>
    <t xml:space="preserve">🔵 Blue = typed input   🟢 Green = calculated formula   🟣 Purple = live price via Power Query (Data → Refresh All)</t>
  </si>
  <si>
    <t xml:space="preserve">① ACQUIRER — KOTAK MAHINDRA BANK LTD (NSE: KOTAKBANK)</t>
  </si>
  <si>
    <t xml:space="preserve">Acquirer Net Profit, FY2026 (₹ Cr)</t>
  </si>
  <si>
    <t xml:space="preserve">Source: Kotak Q4FY26 results (consolidated), May 2026</t>
  </si>
  <si>
    <t xml:space="preserve">Acquirer Shares Outstanding (Crore shares)</t>
  </si>
  <si>
    <t xml:space="preserve">Source: NSE / Kotak investor relations, FY2026</t>
  </si>
  <si>
    <t xml:space="preserve">Acquirer Current Share Price (₹)  [LIVE — refreshes from NSE via Yahoo Finance]</t>
  </si>
  <si>
    <t xml:space="preserve">Power Query named range: AcquirerLivePrice  |  Fallback: ₹2,050 if offline</t>
  </si>
  <si>
    <t xml:space="preserve">Acquirer Cash &amp; Equivalents (₹ Cr)</t>
  </si>
  <si>
    <t xml:space="preserve">Approximate liquid reserves; adjust from latest balance sheet</t>
  </si>
  <si>
    <t xml:space="preserve">Acquirer Pre-Provision Operating Profit / PPOP (₹ Cr)</t>
  </si>
  <si>
    <t xml:space="preserve">Bank proxy for EBITDA — Kotak FY2026 estimate</t>
  </si>
  <si>
    <t xml:space="preserve">Acquirer Existing Net Borrowings (₹ Cr)</t>
  </si>
  <si>
    <t xml:space="preserve">Net borrowings (bonds, sub-debt, refinance) excl. deposits</t>
  </si>
  <si>
    <t xml:space="preserve">② TARGET — IDFC FIRST BANK LTD (NSE: IDFCFIRSTB)</t>
  </si>
  <si>
    <t xml:space="preserve">Target Net Profit, FY2026 (₹ Cr)</t>
  </si>
  <si>
    <t xml:space="preserve">Source: IDFC First Bank Q4FY26 standalone results, Apr 2026</t>
  </si>
  <si>
    <t xml:space="preserve">Target Shares Outstanding (Crore shares)</t>
  </si>
  <si>
    <t xml:space="preserve">Source: IDFC First Bank ESOS filing, May 2026</t>
  </si>
  <si>
    <t xml:space="preserve">Target Current Share Price (₹)  [LIVE — refreshes from NSE via Yahoo Finance]</t>
  </si>
  <si>
    <t xml:space="preserve">Power Query named range: TargetLivePrice  |  Fallback: ₹68.50 if offline</t>
  </si>
  <si>
    <t xml:space="preserve">Target PPOP / Pre-Provision Operating Profit (₹ Cr)</t>
  </si>
  <si>
    <t xml:space="preserve">IDFC First Bank FY2026 estimate (HSBC research)</t>
  </si>
  <si>
    <t xml:space="preserve">Target Existing Net Borrowings (₹ Cr)</t>
  </si>
  <si>
    <t xml:space="preserve">Source: IDFC First Bank Q3FY26 investor presentation (borrowings)</t>
  </si>
  <si>
    <t xml:space="preserve">③ DEAL STRUCTURE</t>
  </si>
  <si>
    <t xml:space="preserve">Offer Premium to Target Current Market Price (%)</t>
  </si>
  <si>
    <t xml:space="preserve">Typical Indian bank M&amp;A premium range: 20–40%</t>
  </si>
  <si>
    <t xml:space="preserve">Offer Price per Target Share (₹)  [calculated]</t>
  </si>
  <si>
    <t xml:space="preserve">Offer price = Target live price × (1 + premium)</t>
  </si>
  <si>
    <t xml:space="preserve">Equity Purchase Price (₹ Cr)  [calculated — live price × shares × (1+premium)]</t>
  </si>
  <si>
    <t xml:space="preserve">Equity purchase price = Offer price × shares outstanding</t>
  </si>
  <si>
    <t xml:space="preserve">% Consideration paid in Cash</t>
  </si>
  <si>
    <t xml:space="preserve">Adjust: 100% cash = all debt/BS-cash funded; 0% = all stock swap</t>
  </si>
  <si>
    <t xml:space="preserve">% Consideration paid in Stock  [calculated]</t>
  </si>
  <si>
    <t xml:space="preserve">% of Cash portion funded by New Debt</t>
  </si>
  <si>
    <t xml:space="preserve">RBI-regulated; typical for Indian bank acquisitions</t>
  </si>
  <si>
    <t xml:space="preserve">% of Cash portion funded by Balance-Sheet Cash  [calculated]</t>
  </si>
  <si>
    <t xml:space="preserve">New Debt Interest Rate (% p.a.)</t>
  </si>
  <si>
    <t xml:space="preserve">Approx. Indian bond/NCD rate, Jul 2026 environment</t>
  </si>
  <si>
    <t xml:space="preserve">Foregone Yield on Cash Used (% p.a.)</t>
  </si>
  <si>
    <t xml:space="preserve">Opportunity cost of using balance-sheet cash (T-bill / liquid fund rate)</t>
  </si>
  <si>
    <t xml:space="preserve">Acquirer Effective Tax Rate (%)</t>
  </si>
  <si>
    <t xml:space="preserve">New domestic tax regime for large Indian banks, FY2026</t>
  </si>
  <si>
    <t xml:space="preserve">Integration / Transaction Costs (₹ Cr)</t>
  </si>
  <si>
    <t xml:space="preserve">Advisory, stamp duty, tech integration, branch rationalisation</t>
  </si>
  <si>
    <t xml:space="preserve">④ SYNERGIES</t>
  </si>
  <si>
    <t xml:space="preserve">Run-Rate Annual Synergies (₹ Cr, pre-tax)</t>
  </si>
  <si>
    <t xml:space="preserve">Cost + revenue synergies: branch overlap, funding cost, cross-sell</t>
  </si>
  <si>
    <t xml:space="preserve">Synergy Ramp — Year 1 (% of run-rate)</t>
  </si>
  <si>
    <t xml:space="preserve">Synergy Ramp — Year 2 (% of run-rate)</t>
  </si>
  <si>
    <t xml:space="preserve">Synergy Ramp — Year 3 (% of run-rate)</t>
  </si>
  <si>
    <t xml:space="preserve">Synergy Ramp — Year 4 (% of run-rate)</t>
  </si>
  <si>
    <t xml:space="preserve">Synergy Ramp — Year 5 (% of run-rate)</t>
  </si>
  <si>
    <t xml:space="preserve">⑤ LEVERAGE &amp; COVENANT (RBI-STYLE)</t>
  </si>
  <si>
    <t xml:space="preserve">Net Borrowings / PPOP Covenant Threshold (x)</t>
  </si>
  <si>
    <t xml:space="preserve">Indicative internal threshold; RBI monitors leverage via CRAR separately</t>
  </si>
  <si>
    <t xml:space="preserve">CALCULATIONS — PRO FORMA ACCRETION / DILUTION ANALYSIS</t>
  </si>
  <si>
    <t xml:space="preserve">Kotak Mahindra Bank (Acquirer) acquires IDFC First Bank (Target)  |  All values in ₹ Crore  |  Formulas reference Inputs tab — change any input and this sheet recalculates</t>
  </si>
  <si>
    <t xml:space="preserve">A  ·  DEAL SIZE MECHANICS</t>
  </si>
  <si>
    <t xml:space="preserve">Equity Purchase Price (₹ Cr)</t>
  </si>
  <si>
    <t xml:space="preserve">Cash Consideration (₹ Cr)</t>
  </si>
  <si>
    <t xml:space="preserve">Stock Consideration (₹ Cr)</t>
  </si>
  <si>
    <t xml:space="preserve">New Debt Raised (₹ Cr)</t>
  </si>
  <si>
    <t xml:space="preserve">Balance-Sheet Cash Used (₹ Cr)</t>
  </si>
  <si>
    <t xml:space="preserve">New Shares Issued to Target Shareholders (Crore shares)</t>
  </si>
  <si>
    <t xml:space="preserve">Pro Forma Shares Outstanding (Crore shares)</t>
  </si>
  <si>
    <t xml:space="preserve">B  ·  ANNUAL FINANCING COST IMPACT  (after-tax, ₹ Cr)</t>
  </si>
  <si>
    <t xml:space="preserve">Incremental Interest on New Debt — pre-tax (₹ Cr)</t>
  </si>
  <si>
    <t xml:space="preserve">Incremental Interest on New Debt — after-tax (₹ Cr)</t>
  </si>
  <si>
    <t xml:space="preserve">Foregone Yield on Cash Used — pre-tax (₹ Cr)</t>
  </si>
  <si>
    <t xml:space="preserve">Foregone Yield on Cash Used — after-tax (₹ Cr)</t>
  </si>
  <si>
    <t xml:space="preserve">Total Annual Financing Drag — after-tax (₹ Cr)</t>
  </si>
  <si>
    <t xml:space="preserve">C  ·  AFTER-TAX SYNERGY SCHEDULE  (₹ Cr)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</si>
  <si>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</si>
  <si>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</si>
  <si>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</si>
  <si>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</si>
  <si>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</si>
  <si>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Synergy Ramp (% of run-rate)</t>
  </si>
  <si>
    <t xml:space="preserve">Pre-Tax Synergies (₹ Cr)</t>
  </si>
  <si>
    <t xml:space="preserve">After-Tax Synergies (₹ Cr)</t>
  </si>
  <si>
    <t xml:space="preserve">D  ·  PRO FORMA NET PROFIT BUILD  (₹ Cr)</t>
  </si>
  <si>
    <t xml:space="preserve">(+)  Acquirer Standalone Net Profit (₹ Cr)</t>
  </si>
  <si>
    <t xml:space="preserve">(+)  Target Net Profit (₹ Cr)</t>
  </si>
  <si>
    <t xml:space="preserve">(+)  After-Tax Synergies (₹ Cr)</t>
  </si>
  <si>
    <t xml:space="preserve">(−)  After-Tax Financing Drag (₹ Cr)</t>
  </si>
  <si>
    <t xml:space="preserve">Pro Forma Net Profit (₹ Cr)</t>
  </si>
  <si>
    <t xml:space="preserve">E  ·  EPS BRIDGE &amp; ACCRETION / DILUTION</t>
  </si>
  <si>
    <t xml:space="preserve">Standalone</t>
  </si>
  <si>
    <t xml:space="preserve">Net Profit (₹ Cr)</t>
  </si>
  <si>
    <t xml:space="preserve">Shares Outstanding (Crore)</t>
  </si>
  <si>
    <t xml:space="preserve">EPS (₹ per share)</t>
  </si>
  <si>
    <t xml:space="preserve">Accretion / (Dilution) — ₹ per share</t>
  </si>
  <si>
    <t xml:space="preserve">—</t>
  </si>
  <si>
    <t xml:space="preserve">Accretion / (Dilution) — % of Standalone EPS</t>
  </si>
  <si>
    <t xml:space="preserve">F  ·  OUTPUT RANGE  —  Power BI &amp; Tableau connect to this block (named range: OutputTable)</t>
  </si>
  <si>
    <t xml:space="preserve">Metric</t>
  </si>
  <si>
    <t xml:space="preserve">Acquirer Standalone Net Profit (₹ Cr)</t>
  </si>
  <si>
    <t xml:space="preserve">Target Net Profit (₹ Cr)</t>
  </si>
  <si>
    <t xml:space="preserve">After-Tax Financing Drag (₹ Cr)</t>
  </si>
  <si>
    <t xml:space="preserve">Pro Forma Shares (Crore)</t>
  </si>
  <si>
    <t xml:space="preserve">Standalone EPS (₹)</t>
  </si>
  <si>
    <t xml:space="preserve">Pro Forma EPS (₹)</t>
  </si>
  <si>
    <t xml:space="preserve">Accretion / (Dilution) %</t>
  </si>
  <si>
    <t xml:space="preserve">BS Cash Used (₹ Cr)</t>
  </si>
  <si>
    <t xml:space="preserve">Offer Premium (%)</t>
  </si>
  <si>
    <t xml:space="preserve">% Consideration Cash</t>
  </si>
  <si>
    <t xml:space="preserve">% Consideration Stock</t>
  </si>
  <si>
    <t xml:space="preserve">SOURCES &amp; USES OF FUNDS  —  ILLUSTRATIVE TRANSACTION ANALYSIS</t>
  </si>
  <si>
    <t xml:space="preserve">Kotak Mahindra Bank Ltd  (Acquirer)   ×   IDFC First Bank Ltd  (Target)</t>
  </si>
  <si>
    <t xml:space="preserve">All figures in ₹ Crore  |  FY2026 actuals  |  Hypothetical / Illustrative only</t>
  </si>
  <si>
    <t xml:space="preserve">Deal structure reflects Inputs tab assumptions — updates automatically</t>
  </si>
  <si>
    <t xml:space="preserve">  USES  OF  FUNDS</t>
  </si>
  <si>
    <t xml:space="preserve">  SOURCES  OF  FUNDS</t>
  </si>
  <si>
    <t xml:space="preserve">Equity Purchase Price</t>
  </si>
  <si>
    <t xml:space="preserve">New Debt Raised</t>
  </si>
  <si>
    <t xml:space="preserve">     ↳  Cash Consideration</t>
  </si>
  <si>
    <t xml:space="preserve">Balance-Sheet Cash Used</t>
  </si>
  <si>
    <t xml:space="preserve">     ↳  Stock Consideration (at Kotak share price)</t>
  </si>
  <si>
    <t xml:space="preserve">New Equity Issued  (Stock Consideration)</t>
  </si>
  <si>
    <t xml:space="preserve">Control Premium Paid  (above target market cap)</t>
  </si>
  <si>
    <t xml:space="preserve">Integration Costs  (funded from cash / debt)</t>
  </si>
  <si>
    <t xml:space="preserve">Integration &amp; Transaction Costs</t>
  </si>
  <si>
    <t xml:space="preserve">TOTAL  USES</t>
  </si>
  <si>
    <t xml:space="preserve">TOTAL  SOURCES</t>
  </si>
  <si>
    <t xml:space="preserve">CHECK  —  Sources minus Uses  (must equal zero)</t>
  </si>
  <si>
    <t xml:space="preserve">Sources  −  Uses  =</t>
  </si>
  <si>
    <t xml:space="preserve">✔ Green = balanced  |  ✘ Red = sources ≠ uses (check inputs)</t>
  </si>
  <si>
    <t xml:space="preserve">KEY DEAL METRICS  —  DERIVED FROM INPUTS</t>
  </si>
  <si>
    <t xml:space="preserve">Offer Price per Share</t>
  </si>
  <si>
    <t xml:space="preserve">Offer Premium</t>
  </si>
  <si>
    <t xml:space="preserve">% Cash</t>
  </si>
  <si>
    <t xml:space="preserve">% Stock</t>
  </si>
  <si>
    <t xml:space="preserve">New Shares Issued (Cr)</t>
  </si>
  <si>
    <t xml:space="preserve">STRICTLY CONFIDENTIAL  —  FOR ILLUSTRATIVE &amp; EDUCATIONAL PURPOSES ONLY  |  NOT FOR DISTRIBUTION  |  Sources &amp; Uses — An Integrated M&amp;A Decision Platform</t>
  </si>
  <si>
    <t xml:space="preserve">SENSITIVITY ANALYSIS  —  YEAR 1 &amp; YEAR 3 ACCRETION / (DILUTION) %</t>
  </si>
  <si>
    <t xml:space="preserve">Axes: Offer Premium % (rows, 15%→45%)  ×  Cash Consideration % (cols, 0%→100%)  |  🟡 = current Inputs assumption  |  Green = accretive  |  Red = dilutive</t>
  </si>
  <si>
    <t xml:space="preserve">  TABLE 1  —  YEAR 1 ACCRETION / (DILUTION) %</t>
  </si>
  <si>
    <t xml:space="preserve">Row input: Offer Premium  |  Column input: % Cash Consideration  |  Formula independent — no Excel Data Table engine required</t>
  </si>
  <si>
    <t xml:space="preserve">Premium ↓  /  Cash % →</t>
  </si>
  <si>
    <t xml:space="preserve">  TABLE 2  —  YEAR 3 ACCRETION / (DILUTION) %  (synergy ramp 70% of run-rate)</t>
  </si>
  <si>
    <t xml:space="preserve">📌  HOW TO READ:  Each cell = (Pro Forma EPS − Standalone EPS) ÷ Standalone EPS  |  🟡 Yellow = current deal (30% premium, 60% cash)  |  Change any Inputs tab value → both tables update instantly</t>
  </si>
  <si>
    <t xml:space="preserve">💡  KEY INSIGHT:  Higher cash % = larger financing drag = more dilutive.  Higher premium = bigger deal = more dilutive.  Table 2 vs Table 1 shows synergy ramp narrowing the dilution gap by Year 3.</t>
  </si>
  <si>
    <t xml:space="preserve">LEVERAGE &amp; COVENANT ANALYSIS  —  PRO FORMA COMBINED ENTITY</t>
  </si>
  <si>
    <t xml:space="preserve">Kotak Mahindra Bank (Acquirer)  ×  IDFC First Bank (Target)  |  All values ₹ Crore  |  Formulas reference Inputs &amp; Calculations tabs</t>
  </si>
  <si>
    <t xml:space="preserve">A  ·  PRO FORMA LEVERAGE BUILD  (₹ Crore)</t>
  </si>
  <si>
    <t xml:space="preserve">(+)  New Debt Raised for Acquisition (₹ Cr)</t>
  </si>
  <si>
    <t xml:space="preserve">(+)  Target Existing Net Borrowings Assumed (₹ Cr)</t>
  </si>
  <si>
    <t xml:space="preserve">Pro Forma Combined Net Borrowings (₹ Cr)</t>
  </si>
  <si>
    <t xml:space="preserve">Acquirer PPOP (₹ Cr)</t>
  </si>
  <si>
    <t xml:space="preserve">(+)  Target PPOP (₹ Cr)</t>
  </si>
  <si>
    <t xml:space="preserve">Pro Forma Combined PPOP (₹ Cr)</t>
  </si>
  <si>
    <t xml:space="preserve">Pro Forma Net Borrowings / PPOP  (x)</t>
  </si>
  <si>
    <t xml:space="preserve">B  ·  COVENANT HEADROOM  (Net Borrowings / PPOP  vs  Threshold)</t>
  </si>
  <si>
    <t xml:space="preserve">Covenant Threshold  (Net Borrowings / PPOP ≤ x)</t>
  </si>
  <si>
    <t xml:space="preserve">Pro Forma Leverage Ratio  (x)</t>
  </si>
  <si>
    <t xml:space="preserve">Headroom  (Threshold − Actual)  (x)</t>
  </si>
  <si>
    <t xml:space="preserve">Max Additional Debt Before Covenant Breach  (₹ Cr)</t>
  </si>
  <si>
    <t xml:space="preserve">Covenant Status</t>
  </si>
  <si>
    <t xml:space="preserve">C  ·  RBI REGULATORY CONTEXT  —  CAPITAL ADEQUACY (CRAR)  [Reference Only]</t>
  </si>
  <si>
    <t xml:space="preserve">Note: For banks, RBI monitors leverage primarily via CRAR (Capital Adequacy Ratio) under Basel III. The Net Borrowings/PPOP ratio above is an internal management metric. CRAR figures below are actuals from FY2026 filings — for reference only.</t>
  </si>
  <si>
    <t xml:space="preserve">Entity</t>
  </si>
  <si>
    <t xml:space="preserve">CRAR (Basel III)</t>
  </si>
  <si>
    <t xml:space="preserve">Tier 1 Ratio</t>
  </si>
  <si>
    <t xml:space="preserve">RBI Minimum CRAR</t>
  </si>
  <si>
    <t xml:space="preserve">Headroom vs Min</t>
  </si>
  <si>
    <t xml:space="preserve">Status</t>
  </si>
  <si>
    <t xml:space="preserve">Kotak Mahindra Bank</t>
  </si>
  <si>
    <t xml:space="preserve">21.96%</t>
  </si>
  <si>
    <t xml:space="preserve">21.28%</t>
  </si>
  <si>
    <t xml:space="preserve">11.5%</t>
  </si>
  <si>
    <t xml:space="preserve">10.46%</t>
  </si>
  <si>
    <t xml:space="preserve">✔ Well Capitalised</t>
  </si>
  <si>
    <t xml:space="preserve">IDFC First Bank</t>
  </si>
  <si>
    <t xml:space="preserve">15.60%</t>
  </si>
  <si>
    <t xml:space="preserve">13.92%</t>
  </si>
  <si>
    <t xml:space="preserve">4.10%</t>
  </si>
  <si>
    <t xml:space="preserve">Pro Forma (illustrative)</t>
  </si>
  <si>
    <t xml:space="preserve">TBD post-merger</t>
  </si>
  <si>
    <t xml:space="preserve">Pending integration</t>
  </si>
  <si>
    <t xml:space="preserve">Subject to RBI approval</t>
  </si>
  <si>
    <t xml:space="preserve">D  ·  5-YEAR DELEVERAGING SCHEDULE  (Pro Forma Leverage Ratio by Year)</t>
  </si>
  <si>
    <t xml:space="preserve">Assumed Annual PPOP Growth Rate (%) — type to change</t>
  </si>
  <si>
    <t xml:space="preserve">Assumed Annual Debt Amortisation Rate (%) — type to change</t>
  </si>
  <si>
    <t xml:space="preserve">Year 0
(Close)</t>
  </si>
  <si>
    <t xml:space="preserve">Combined PPOP (₹ Cr)</t>
  </si>
  <si>
    <t xml:space="preserve">Net Borrowings (₹ Cr)</t>
  </si>
  <si>
    <t xml:space="preserve">Net Borrowings / PPOP  (x)</t>
  </si>
  <si>
    <t xml:space="preserve">Covenant Threshold  (x)  [reference]</t>
  </si>
  <si>
    <t xml:space="preserve">Headroom  (Threshold − Leverage)  (x)</t>
  </si>
  <si>
    <t xml:space="preserve">📌  PPOP growth rate and debt amortisation rate (Section D, blue cells) are the only typed inputs on this tab. All other values flow from Inputs and Calculations tabs. Adjust growth/amortisation to model deleveraging scenarios.  |  RBI CRAR figures (Section C) are FY2026 actuals — hardcoded for reference.</t>
  </si>
  <si>
    <t xml:space="preserve">⚙  POWER QUERY SETUP GUIDE — Live Share Prices (KOTAKBANK &amp; IDFCFIRSTB)</t>
  </si>
  <si>
    <t xml:space="preserve">Follow these steps ONCE to connect live NSE share prices. Takes &lt; 2 minutes.</t>
  </si>
  <si>
    <t xml:space="preserve">STEP 1 — Open Power Query Editor</t>
  </si>
  <si>
    <t xml:space="preserve">  In Excel: Data tab → Get Data → Launch Power Query Editor</t>
  </si>
  <si>
    <t xml:space="preserve">STEP 2 — Create Query: AcquirerLivePrice (Kotak Mahindra Bank)</t>
  </si>
  <si>
    <t xml:space="preserve">  Home → New Source → Other Sources → Blank Query</t>
  </si>
  <si>
    <t xml:space="preserve">  In the formula bar (or Advanced Editor), paste the M code below:</t>
  </si>
  <si>
    <t xml:space="preserve">let</t>
  </si>
  <si>
    <t xml:space="preserve">    Source = Json.Document(Web.Contents("https://query1.finance.yahoo.com/v8/finance/chart/KOTAKBANK.NS?interval=1d&amp;range=1d")),</t>
  </si>
  <si>
    <t xml:space="preserve">    chart  = Source[chart],</t>
  </si>
  <si>
    <t xml:space="preserve">    result = chart[result]{0},</t>
  </si>
  <si>
    <t xml:space="preserve">    meta   = result[meta],</t>
  </si>
  <si>
    <t xml:space="preserve">    price  = meta[regularMarketPrice]</t>
  </si>
  <si>
    <t xml:space="preserve">in</t>
  </si>
  <si>
    <t xml:space="preserve">    price</t>
  </si>
  <si>
    <t xml:space="preserve">  → Name this query:  AcquirerLivePrice   → Close &amp; Load To → Only Create Connection</t>
  </si>
  <si>
    <t xml:space="preserve">STEP 3 — Create Query: TargetLivePrice (IDFC First Bank)</t>
  </si>
  <si>
    <t xml:space="preserve">  Repeat Step 2 with this M code:</t>
  </si>
  <si>
    <t xml:space="preserve">    Source = Json.Document(Web.Contents("https://query1.finance.yahoo.com/v8/finance/chart/IDFCFIRSTB.NS?interval=1d&amp;range=1d")),</t>
  </si>
  <si>
    <t xml:space="preserve">  → Name this query:  TargetLivePrice   → Close &amp; Load To → Only Create Connection</t>
  </si>
  <si>
    <t xml:space="preserve">STEP 4 — Load prices into named cells on the Inputs sheet</t>
  </si>
  <si>
    <t xml:space="preserve">  For each query: right-click query in Queries &amp; Connections pane → Load To</t>
  </si>
  <si>
    <t xml:space="preserve">  Choose 'Existing worksheet' → select a blank cell (e.g. E5 for Kotak, E13 for IDFC)</t>
  </si>
  <si>
    <t xml:space="preserve">  Then define Named Ranges: Formulas → Name Manager → New</t>
  </si>
  <si>
    <t xml:space="preserve">    Name: AcquirerLivePrice  → Refers to: =Inputs!$E$5</t>
  </si>
  <si>
    <t xml:space="preserve">    Name: TargetLivePrice    → Refers to: =Inputs!$E$13</t>
  </si>
  <si>
    <t xml:space="preserve">  The purple cells on Inputs already use =IFERROR(AcquirerLivePrice, fallback)</t>
  </si>
  <si>
    <t xml:space="preserve">  Once named ranges exist, prices will populate automatically on every refresh.</t>
  </si>
  <si>
    <t xml:space="preserve">STEP 5 — Refresh</t>
  </si>
  <si>
    <t xml:space="preserve">  Data → Refresh All   (or Ctrl+Alt+F5)</t>
  </si>
  <si>
    <t xml:space="preserve">  The purple cells on the Inputs sheet will now show live NSE prices.</t>
  </si>
  <si>
    <t xml:space="preserve">NOTE: Yahoo Finance's unofficial API is free, no key required, but may be blocked</t>
  </si>
  <si>
    <t xml:space="preserve">on corporate networks with strict egress rules. Fallback values (₹2,050 / ₹68.50)</t>
  </si>
  <si>
    <t xml:space="preserve">in the purple cells will keep the model live even if the API is unreachable.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</si>
</sst>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₹#,###,##0.00&quot; Cr&quot;"/>
    <numFmt numFmtId="166" formatCode="#,###,##0.00&quot; Cr shares&quot;"/>
    <numFmt numFmtId="167" formatCode="\₹#,###,##0.00"/>
    <numFmt numFmtId="168" formatCode="0.00%"/>
    <numFmt numFmtId="169" formatCode="0.00\x"/>
    <numFmt numFmtId="170" formatCode="#,###,##0.00&quot; Cr&quot;"/>
    <numFmt numFmtId="171" formatCode="\+0.00%;\-0.00%;\—"/>
    <numFmt numFmtId="172" formatCode="#,###,##0.00"/>
    <numFmt numFmtId="173" formatCode="0%"/>
    <numFmt numFmtId="174" formatCode="\+0.00%;\-0.00%"/>
    <numFmt numFmtId="175" formatCode="\₹#,###,##0.00&quot; Cr&quot;"/>
    <numFmt numFmtId="176" formatCode="0.00\x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i val="true"/>
      <sz val="9"/>
      <color rgb="FF444444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333333"/>
      <name val="Calibri"/>
      <family val="0"/>
      <charset val="1"/>
    </font>
    <font>
      <b val="true"/>
      <sz val="10"/>
      <color rgb="FF0070C0"/>
      <name val="Calibri"/>
      <family val="0"/>
      <charset val="1"/>
    </font>
    <font>
      <b val="true"/>
      <sz val="10"/>
      <color rgb="FF7030A0"/>
      <name val="Calibri"/>
      <family val="0"/>
      <charset val="1"/>
    </font>
    <font>
      <sz val="10"/>
      <color rgb="FF375623"/>
      <name val="Calibri"/>
      <family val="0"/>
      <charset val="1"/>
    </font>
    <font>
      <b val="true"/>
      <sz val="10"/>
      <color rgb="FF33333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i val="true"/>
      <sz val="10"/>
      <color rgb="FFC9D9F0"/>
      <name val="Calibri"/>
      <family val="0"/>
      <charset val="1"/>
    </font>
    <font>
      <i val="true"/>
      <sz val="8"/>
      <color rgb="FF88888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222222"/>
      <name val="Calibri"/>
      <family val="0"/>
      <charset val="1"/>
    </font>
    <font>
      <sz val="10"/>
      <color rgb="FF1F3864"/>
      <name val="Courier New"/>
      <family val="0"/>
      <charset val="1"/>
    </font>
    <font>
      <i val="true"/>
      <sz val="10"/>
      <color rgb="FF444444"/>
      <name val="Calibri"/>
      <family val="0"/>
      <charset val="1"/>
    </font>
    <font>
      <b val="true"/>
      <sz val="11"/>
      <color rgb="FF1F3864"/>
      <name val="Courier New"/>
      <family val="0"/>
      <charset val="1"/>
    </font>
    <font>
      <b val="true"/>
      <sz val="11"/>
      <color rgb="FF375623"/>
      <name val="Courier New"/>
      <family val="0"/>
      <charset val="1"/>
    </font>
    <font>
      <b val="true"/>
      <sz val="8"/>
      <color rgb="FF1F3864"/>
      <name val="Calibri"/>
      <family val="0"/>
      <charset val="1"/>
    </font>
    <font>
      <b val="true"/>
      <sz val="10"/>
      <color rgb="FF1F3864"/>
      <name val="Courier New"/>
      <family val="0"/>
      <charset val="1"/>
    </font>
    <font>
      <i val="true"/>
      <sz val="8"/>
      <color rgb="FF8BA7CC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1F3864"/>
      <name val="Courier New"/>
      <family val="0"/>
      <charset val="1"/>
    </font>
    <font>
      <sz val="9"/>
      <color rgb="FF222222"/>
      <name val="Courier New"/>
      <family val="0"/>
      <charset val="1"/>
    </font>
    <font>
      <b val="true"/>
      <sz val="9"/>
      <color rgb="FF7030A0"/>
      <name val="Courier New"/>
      <family val="0"/>
      <charset val="1"/>
    </font>
    <font>
      <i val="true"/>
      <sz val="9"/>
      <color rgb="FF1F3864"/>
      <name val="Calibri"/>
      <family val="0"/>
      <charset val="1"/>
    </font>
    <font>
      <i val="true"/>
      <sz val="9"/>
      <color rgb="FF375623"/>
      <name val="Calibri"/>
      <family val="0"/>
      <charset val="1"/>
    </font>
    <font>
      <sz val="10"/>
      <color rgb="FF375623"/>
      <name val="Courier New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4"/>
      <color rgb="FFFFFFFF"/>
      <name val="Courier New"/>
      <family val="0"/>
      <charset val="1"/>
    </font>
    <font>
      <sz val="9"/>
      <color rgb="FF333333"/>
      <name val="Calibri"/>
      <family val="0"/>
      <charset val="1"/>
    </font>
    <font>
      <sz val="9"/>
      <color rgb="FF375623"/>
      <name val="Calibri"/>
      <family val="0"/>
      <charset val="1"/>
    </font>
    <font>
      <b val="true"/>
      <sz val="10"/>
      <color rgb="FF0070C0"/>
      <name val="Courier New"/>
      <family val="0"/>
      <charset val="1"/>
    </font>
    <font>
      <b val="true"/>
      <sz val="11"/>
      <color rgb="FFFFFFFF"/>
      <name val="Courier New"/>
      <family val="0"/>
      <charset val="1"/>
    </font>
    <font>
      <sz val="10"/>
      <color rgb="FFC00000"/>
      <name val="Courier New"/>
      <family val="0"/>
      <charset val="1"/>
    </font>
    <font>
      <b val="true"/>
      <sz val="14"/>
      <color rgb="FF1F3864"/>
      <name val="Calibri"/>
      <family val="0"/>
      <charset val="1"/>
    </font>
    <font>
      <sz val="9"/>
      <color rgb="FF555555"/>
      <name val="Calibri"/>
      <family val="0"/>
      <charset val="1"/>
    </font>
    <font>
      <sz val="9"/>
      <color rgb="FF0070C0"/>
      <name val="Courier New"/>
      <family val="0"/>
      <charset val="1"/>
    </font>
    <font>
      <sz val="9"/>
      <color rgb="FF7030A0"/>
      <name val="Courier New"/>
      <family val="0"/>
      <charset val="1"/>
    </font>
    <font>
      <sz val="10"/>
      <color rgb="FFC00000"/>
      <name val="Calibri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D9E2F3"/>
        <bgColor rgb="FFC9D9F0"/>
      </patternFill>
    </fill>
    <fill>
      <patternFill patternType="solid">
        <fgColor rgb="FFF3E6FF"/>
        <bgColor rgb="FFF9F0FF"/>
      </patternFill>
    </fill>
    <fill>
      <patternFill patternType="solid">
        <fgColor rgb="FF1F3864"/>
        <bgColor rgb="FF374151"/>
      </patternFill>
    </fill>
    <fill>
      <patternFill patternType="solid">
        <fgColor rgb="FFEBF3E8"/>
        <bgColor rgb="FFE8EEF7"/>
      </patternFill>
    </fill>
    <fill>
      <patternFill patternType="solid">
        <fgColor rgb="FFF5F9FF"/>
        <bgColor rgb="FFF0F4FF"/>
      </patternFill>
    </fill>
    <fill>
      <patternFill patternType="solid">
        <fgColor rgb="FF2B4C7E"/>
        <bgColor rgb="FF2E5F8A"/>
      </patternFill>
    </fill>
    <fill>
      <patternFill patternType="solid">
        <fgColor rgb="FF2E5F8A"/>
        <bgColor rgb="FF2B4C7E"/>
      </patternFill>
    </fill>
    <fill>
      <patternFill patternType="solid">
        <fgColor rgb="FFE8EEF7"/>
        <bgColor rgb="FFF0F4FA"/>
      </patternFill>
    </fill>
    <fill>
      <patternFill patternType="solid">
        <fgColor rgb="FF375623"/>
        <bgColor rgb="FF444444"/>
      </patternFill>
    </fill>
    <fill>
      <patternFill patternType="solid">
        <fgColor rgb="FFF0F4FA"/>
        <bgColor rgb="FFF0F4FF"/>
      </patternFill>
    </fill>
    <fill>
      <patternFill patternType="solid">
        <fgColor rgb="FFFFFFFF"/>
        <bgColor rgb="FFF5F9FF"/>
      </patternFill>
    </fill>
    <fill>
      <patternFill patternType="solid">
        <fgColor rgb="FFFFE699"/>
        <bgColor rgb="FFFFF2CC"/>
      </patternFill>
    </fill>
    <fill>
      <patternFill patternType="solid">
        <fgColor rgb="FF374151"/>
        <bgColor rgb="FF444444"/>
      </patternFill>
    </fill>
    <fill>
      <patternFill patternType="solid">
        <fgColor rgb="FFFCE4D6"/>
        <bgColor rgb="FFFFF2CC"/>
      </patternFill>
    </fill>
    <fill>
      <patternFill patternType="solid">
        <fgColor rgb="FFF0F4FF"/>
        <bgColor rgb="FFF0F4FA"/>
      </patternFill>
    </fill>
    <fill>
      <patternFill patternType="solid">
        <fgColor rgb="FFF9F0FF"/>
        <bgColor rgb="FFF0F4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 style="thin">
        <color rgb="FFB8CCE4"/>
      </right>
      <top style="medium">
        <color rgb="FF1F3864"/>
      </top>
      <bottom style="thin">
        <color rgb="FFB8CCE4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medium">
        <color rgb="FF1F3864"/>
      </bottom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8CCE4"/>
      </left>
      <right/>
      <top style="medium">
        <color rgb="FF1F386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1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8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30" fillId="1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8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1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35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3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3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1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39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40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C00000"/>
      </font>
      <fill>
        <patternFill>
          <bgColor rgb="FFFCE4D6"/>
        </patternFill>
      </fill>
    </dxf>
    <dxf>
      <font>
        <b val="1"/>
        <color rgb="FF375623"/>
      </font>
      <fill>
        <patternFill>
          <bgColor rgb="FFEBF3E8"/>
        </patternFill>
      </fill>
    </dxf>
    <dxf>
      <font>
        <name val="Courier New"/>
        <charset val="1"/>
        <family val="0"/>
        <b val="1"/>
        <color rgb="FFC00000"/>
      </font>
      <fill>
        <patternFill>
          <bgColor rgb="FFFCE4D6"/>
        </patternFill>
      </fill>
    </dxf>
    <dxf>
      <font>
        <name val="Courier New"/>
        <charset val="1"/>
        <family val="0"/>
        <b val="1"/>
        <color rgb="FF7F6000"/>
      </font>
      <fill>
        <patternFill>
          <bgColor rgb="FFFFF2CC"/>
        </patternFill>
      </fill>
    </dxf>
    <dxf>
      <font>
        <name val="Courier New"/>
        <charset val="1"/>
        <family val="0"/>
        <b val="1"/>
        <color rgb="FF375623"/>
      </font>
      <fill>
        <patternFill>
          <bgColor rgb="FFEBF3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5F9FF"/>
      <rgbColor rgb="FFFF00FF"/>
      <rgbColor rgb="FF00FFFF"/>
      <rgbColor rgb="FF800000"/>
      <rgbColor rgb="FF375623"/>
      <rgbColor rgb="FF000080"/>
      <rgbColor rgb="FF7F6000"/>
      <rgbColor rgb="FF800080"/>
      <rgbColor rgb="FF2E5F8A"/>
      <rgbColor rgb="FFB8CCE4"/>
      <rgbColor rgb="FF808080"/>
      <rgbColor rgb="FF8BA7CC"/>
      <rgbColor rgb="FF7030A0"/>
      <rgbColor rgb="FFFFF2CC"/>
      <rgbColor rgb="FFE8EEF7"/>
      <rgbColor rgb="FF660066"/>
      <rgbColor rgb="FFFF8080"/>
      <rgbColor rgb="FF0070C0"/>
      <rgbColor rgb="FFC9D9F0"/>
      <rgbColor rgb="FF000080"/>
      <rgbColor rgb="FFFF00FF"/>
      <rgbColor rgb="FFF0F4FF"/>
      <rgbColor rgb="FF00FFFF"/>
      <rgbColor rgb="FF800080"/>
      <rgbColor rgb="FF800000"/>
      <rgbColor rgb="FF008080"/>
      <rgbColor rgb="FF0000FF"/>
      <rgbColor rgb="FF00CCFF"/>
      <rgbColor rgb="FFEBF3E8"/>
      <rgbColor rgb="FFF0F4FA"/>
      <rgbColor rgb="FFFFE699"/>
      <rgbColor rgb="FFD9E2F3"/>
      <rgbColor rgb="FFF3E6FF"/>
      <rgbColor rgb="FFF9F0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888888"/>
      <rgbColor rgb="FF1F3864"/>
      <rgbColor rgb="FF339966"/>
      <rgbColor rgb="FF374151"/>
      <rgbColor rgb="FF222222"/>
      <rgbColor rgb="FF993300"/>
      <rgbColor rgb="FF444444"/>
      <rgbColor rgb="FF2B4C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52"/>
    <col collapsed="false" customWidth="true" hidden="false" outlineLevel="0" max="5" min="4" style="1" width="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</row>
    <row r="4" customFormat="false" ht="6" hidden="false" customHeight="true" outlineLevel="0" collapsed="false"/>
    <row r="5" customFormat="false" ht="18" hidden="false" customHeight="true" outlineLevel="0" collapsed="false">
      <c r="A5" s="5" t="s">
        <v>3</v>
      </c>
      <c r="B5" s="5"/>
      <c r="C5" s="5"/>
      <c r="D5" s="5"/>
      <c r="E5" s="5"/>
    </row>
    <row r="6" customFormat="false" ht="15.75" hidden="false" customHeight="true" outlineLevel="0" collapsed="false">
      <c r="A6" s="6" t="s">
        <v>4</v>
      </c>
      <c r="B6" s="7" t="n">
        <v>19288</v>
      </c>
      <c r="C6" s="8" t="s">
        <v>5</v>
      </c>
      <c r="D6" s="8"/>
      <c r="E6" s="8"/>
    </row>
    <row r="7" customFormat="false" ht="15.75" hidden="false" customHeight="true" outlineLevel="0" collapsed="false">
      <c r="A7" s="6" t="s">
        <v>6</v>
      </c>
      <c r="B7" s="9" t="n">
        <v>198.86</v>
      </c>
      <c r="C7" s="8" t="s">
        <v>7</v>
      </c>
      <c r="D7" s="8"/>
      <c r="E7" s="8"/>
    </row>
    <row r="8" customFormat="false" ht="15.75" hidden="false" customHeight="true" outlineLevel="0" collapsed="false">
      <c r="A8" s="6" t="s">
        <v>8</v>
      </c>
      <c r="B8" s="10" t="n">
        <f aca="false">IFERROR(acquirerliveprice,2050)</f>
        <v>2050</v>
      </c>
      <c r="C8" s="8" t="s">
        <v>9</v>
      </c>
      <c r="D8" s="8"/>
      <c r="E8" s="8"/>
    </row>
    <row r="9" customFormat="false" ht="15.75" hidden="false" customHeight="true" outlineLevel="0" collapsed="false">
      <c r="A9" s="6" t="s">
        <v>10</v>
      </c>
      <c r="B9" s="7" t="n">
        <v>12500</v>
      </c>
      <c r="C9" s="8" t="s">
        <v>11</v>
      </c>
      <c r="D9" s="8"/>
      <c r="E9" s="8"/>
    </row>
    <row r="10" customFormat="false" ht="15.75" hidden="false" customHeight="true" outlineLevel="0" collapsed="false">
      <c r="A10" s="6" t="s">
        <v>12</v>
      </c>
      <c r="B10" s="7" t="n">
        <v>24800</v>
      </c>
      <c r="C10" s="8" t="s">
        <v>13</v>
      </c>
      <c r="D10" s="8"/>
      <c r="E10" s="8"/>
    </row>
    <row r="11" customFormat="false" ht="15.75" hidden="false" customHeight="true" outlineLevel="0" collapsed="false">
      <c r="A11" s="6" t="s">
        <v>14</v>
      </c>
      <c r="B11" s="7" t="n">
        <v>185000</v>
      </c>
      <c r="C11" s="8" t="s">
        <v>15</v>
      </c>
      <c r="D11" s="8"/>
      <c r="E11" s="8"/>
    </row>
    <row r="12" customFormat="false" ht="6" hidden="false" customHeight="true" outlineLevel="0" collapsed="false"/>
    <row r="13" customFormat="false" ht="18" hidden="false" customHeight="true" outlineLevel="0" collapsed="false">
      <c r="A13" s="5" t="s">
        <v>16</v>
      </c>
      <c r="B13" s="5"/>
      <c r="C13" s="5"/>
      <c r="D13" s="5"/>
      <c r="E13" s="5"/>
    </row>
    <row r="14" customFormat="false" ht="15.75" hidden="false" customHeight="true" outlineLevel="0" collapsed="false">
      <c r="A14" s="6" t="s">
        <v>17</v>
      </c>
      <c r="B14" s="7" t="n">
        <v>1636</v>
      </c>
      <c r="C14" s="8" t="s">
        <v>18</v>
      </c>
      <c r="D14" s="8"/>
      <c r="E14" s="8"/>
    </row>
    <row r="15" customFormat="false" ht="15.75" hidden="false" customHeight="true" outlineLevel="0" collapsed="false">
      <c r="A15" s="6" t="s">
        <v>19</v>
      </c>
      <c r="B15" s="9" t="n">
        <v>860.83</v>
      </c>
      <c r="C15" s="8" t="s">
        <v>20</v>
      </c>
      <c r="D15" s="8"/>
      <c r="E15" s="8"/>
    </row>
    <row r="16" customFormat="false" ht="15.75" hidden="false" customHeight="true" outlineLevel="0" collapsed="false">
      <c r="A16" s="6" t="s">
        <v>21</v>
      </c>
      <c r="B16" s="10" t="n">
        <f aca="false">IFERROR(targetliveprice,68.5)</f>
        <v>68.5</v>
      </c>
      <c r="C16" s="8" t="s">
        <v>22</v>
      </c>
      <c r="D16" s="8"/>
      <c r="E16" s="8"/>
    </row>
    <row r="17" customFormat="false" ht="15.75" hidden="false" customHeight="true" outlineLevel="0" collapsed="false">
      <c r="A17" s="6" t="s">
        <v>23</v>
      </c>
      <c r="B17" s="7" t="n">
        <v>4800</v>
      </c>
      <c r="C17" s="8" t="s">
        <v>24</v>
      </c>
      <c r="D17" s="8"/>
      <c r="E17" s="8"/>
    </row>
    <row r="18" customFormat="false" ht="15.75" hidden="false" customHeight="true" outlineLevel="0" collapsed="false">
      <c r="A18" s="6" t="s">
        <v>25</v>
      </c>
      <c r="B18" s="7" t="n">
        <v>48354</v>
      </c>
      <c r="C18" s="8" t="s">
        <v>26</v>
      </c>
      <c r="D18" s="8"/>
      <c r="E18" s="8"/>
    </row>
    <row r="19" customFormat="false" ht="6" hidden="false" customHeight="true" outlineLevel="0" collapsed="false"/>
    <row r="20" customFormat="false" ht="18" hidden="false" customHeight="true" outlineLevel="0" collapsed="false">
      <c r="A20" s="5" t="s">
        <v>27</v>
      </c>
      <c r="B20" s="5"/>
      <c r="C20" s="5"/>
      <c r="D20" s="5"/>
      <c r="E20" s="5"/>
    </row>
    <row r="21" customFormat="false" ht="15.75" hidden="false" customHeight="true" outlineLevel="0" collapsed="false">
      <c r="A21" s="6" t="s">
        <v>28</v>
      </c>
      <c r="B21" s="11" t="n">
        <v>0.3</v>
      </c>
      <c r="C21" s="8" t="s">
        <v>29</v>
      </c>
      <c r="D21" s="8"/>
      <c r="E21" s="8"/>
    </row>
    <row r="22" customFormat="false" ht="15.75" hidden="false" customHeight="true" outlineLevel="0" collapsed="false">
      <c r="A22" s="6" t="s">
        <v>30</v>
      </c>
      <c r="B22" s="12" t="n">
        <f aca="false">B16*(1+B21)</f>
        <v>89.05</v>
      </c>
      <c r="C22" s="8" t="s">
        <v>31</v>
      </c>
      <c r="D22" s="8"/>
      <c r="E22" s="8"/>
    </row>
    <row r="23" customFormat="false" ht="15.75" hidden="false" customHeight="true" outlineLevel="0" collapsed="false">
      <c r="A23" s="6" t="s">
        <v>32</v>
      </c>
      <c r="B23" s="13" t="n">
        <f aca="false">B22*B15</f>
        <v>76656.9115</v>
      </c>
      <c r="C23" s="8" t="s">
        <v>33</v>
      </c>
      <c r="D23" s="8"/>
      <c r="E23" s="8"/>
    </row>
    <row r="24" customFormat="false" ht="15.75" hidden="false" customHeight="true" outlineLevel="0" collapsed="false">
      <c r="A24" s="6" t="s">
        <v>34</v>
      </c>
      <c r="B24" s="11" t="n">
        <v>0.6</v>
      </c>
      <c r="C24" s="8" t="s">
        <v>35</v>
      </c>
      <c r="D24" s="8"/>
      <c r="E24" s="8"/>
    </row>
    <row r="25" customFormat="false" ht="15.75" hidden="false" customHeight="true" outlineLevel="0" collapsed="false">
      <c r="A25" s="6" t="s">
        <v>36</v>
      </c>
      <c r="B25" s="14" t="n">
        <f aca="false">1-B24</f>
        <v>0.4</v>
      </c>
    </row>
    <row r="26" customFormat="false" ht="15.75" hidden="false" customHeight="true" outlineLevel="0" collapsed="false">
      <c r="A26" s="6" t="s">
        <v>37</v>
      </c>
      <c r="B26" s="11" t="n">
        <v>0.7</v>
      </c>
      <c r="C26" s="8" t="s">
        <v>38</v>
      </c>
      <c r="D26" s="8"/>
      <c r="E26" s="8"/>
    </row>
    <row r="27" customFormat="false" ht="15.75" hidden="false" customHeight="true" outlineLevel="0" collapsed="false">
      <c r="A27" s="6" t="s">
        <v>39</v>
      </c>
      <c r="B27" s="14" t="n">
        <f aca="false">1-B26</f>
        <v>0.3</v>
      </c>
    </row>
    <row r="28" customFormat="false" ht="15.75" hidden="false" customHeight="true" outlineLevel="0" collapsed="false">
      <c r="A28" s="6" t="s">
        <v>40</v>
      </c>
      <c r="B28" s="11" t="n">
        <v>0.075</v>
      </c>
      <c r="C28" s="8" t="s">
        <v>41</v>
      </c>
      <c r="D28" s="8"/>
      <c r="E28" s="8"/>
    </row>
    <row r="29" customFormat="false" ht="15.75" hidden="false" customHeight="true" outlineLevel="0" collapsed="false">
      <c r="A29" s="6" t="s">
        <v>42</v>
      </c>
      <c r="B29" s="11" t="n">
        <v>0.065</v>
      </c>
      <c r="C29" s="8" t="s">
        <v>43</v>
      </c>
      <c r="D29" s="8"/>
      <c r="E29" s="8"/>
    </row>
    <row r="30" customFormat="false" ht="15.75" hidden="false" customHeight="true" outlineLevel="0" collapsed="false">
      <c r="A30" s="6" t="s">
        <v>44</v>
      </c>
      <c r="B30" s="11" t="n">
        <v>0.2517</v>
      </c>
      <c r="C30" s="8" t="s">
        <v>45</v>
      </c>
      <c r="D30" s="8"/>
      <c r="E30" s="8"/>
    </row>
    <row r="31" customFormat="false" ht="15.75" hidden="false" customHeight="true" outlineLevel="0" collapsed="false">
      <c r="A31" s="6" t="s">
        <v>46</v>
      </c>
      <c r="B31" s="7" t="n">
        <v>850</v>
      </c>
      <c r="C31" s="8" t="s">
        <v>47</v>
      </c>
      <c r="D31" s="8"/>
      <c r="E31" s="8"/>
    </row>
    <row r="32" customFormat="false" ht="6" hidden="false" customHeight="true" outlineLevel="0" collapsed="false"/>
    <row r="33" customFormat="false" ht="18" hidden="false" customHeight="true" outlineLevel="0" collapsed="false">
      <c r="A33" s="5" t="s">
        <v>48</v>
      </c>
      <c r="B33" s="5"/>
      <c r="C33" s="5"/>
      <c r="D33" s="5"/>
      <c r="E33" s="5"/>
    </row>
    <row r="34" customFormat="false" ht="15.75" hidden="false" customHeight="true" outlineLevel="0" collapsed="false">
      <c r="A34" s="6" t="s">
        <v>49</v>
      </c>
      <c r="B34" s="7" t="n">
        <v>2200</v>
      </c>
      <c r="C34" s="8" t="s">
        <v>50</v>
      </c>
      <c r="D34" s="8"/>
      <c r="E34" s="8"/>
    </row>
    <row r="35" customFormat="false" ht="15.75" hidden="false" customHeight="true" outlineLevel="0" collapsed="false">
      <c r="A35" s="6" t="s">
        <v>51</v>
      </c>
      <c r="B35" s="11" t="n">
        <v>0.15</v>
      </c>
    </row>
    <row r="36" customFormat="false" ht="15.75" hidden="false" customHeight="true" outlineLevel="0" collapsed="false">
      <c r="A36" s="6" t="s">
        <v>52</v>
      </c>
      <c r="B36" s="11" t="n">
        <v>0.4</v>
      </c>
    </row>
    <row r="37" customFormat="false" ht="15.75" hidden="false" customHeight="true" outlineLevel="0" collapsed="false">
      <c r="A37" s="6" t="s">
        <v>53</v>
      </c>
      <c r="B37" s="11" t="n">
        <v>0.7</v>
      </c>
    </row>
    <row r="38" customFormat="false" ht="15.75" hidden="false" customHeight="true" outlineLevel="0" collapsed="false">
      <c r="A38" s="6" t="s">
        <v>54</v>
      </c>
      <c r="B38" s="11" t="n">
        <v>0.9</v>
      </c>
    </row>
    <row r="39" customFormat="false" ht="15.75" hidden="false" customHeight="true" outlineLevel="0" collapsed="false">
      <c r="A39" s="6" t="s">
        <v>55</v>
      </c>
      <c r="B39" s="11" t="n">
        <v>1</v>
      </c>
    </row>
    <row r="40" customFormat="false" ht="6" hidden="false" customHeight="true" outlineLevel="0" collapsed="false"/>
    <row r="41" customFormat="false" ht="18" hidden="false" customHeight="true" outlineLevel="0" collapsed="false">
      <c r="A41" s="5" t="s">
        <v>56</v>
      </c>
      <c r="B41" s="5"/>
      <c r="C41" s="5"/>
      <c r="D41" s="5"/>
      <c r="E41" s="5"/>
    </row>
    <row r="42" customFormat="false" ht="15.75" hidden="false" customHeight="true" outlineLevel="0" collapsed="false">
      <c r="A42" s="6" t="s">
        <v>57</v>
      </c>
      <c r="B42" s="15" t="n">
        <v>8</v>
      </c>
      <c r="C42" s="8" t="s">
        <v>58</v>
      </c>
      <c r="D42" s="8"/>
      <c r="E42" s="8"/>
    </row>
  </sheetData>
  <mergeCells count="30">
    <mergeCell ref="A1:F1"/>
    <mergeCell ref="A2:F2"/>
    <mergeCell ref="A3:F3"/>
    <mergeCell ref="A5:E5"/>
    <mergeCell ref="C6:E6"/>
    <mergeCell ref="C7:E7"/>
    <mergeCell ref="C8:E8"/>
    <mergeCell ref="C9:E9"/>
    <mergeCell ref="C10:E10"/>
    <mergeCell ref="C11:E11"/>
    <mergeCell ref="A13:E13"/>
    <mergeCell ref="C14:E14"/>
    <mergeCell ref="C15:E15"/>
    <mergeCell ref="C16:E16"/>
    <mergeCell ref="C17:E17"/>
    <mergeCell ref="C18:E18"/>
    <mergeCell ref="A20:E20"/>
    <mergeCell ref="C21:E21"/>
    <mergeCell ref="C22:E22"/>
    <mergeCell ref="C23:E23"/>
    <mergeCell ref="C24:E24"/>
    <mergeCell ref="C26:E26"/>
    <mergeCell ref="C28:E28"/>
    <mergeCell ref="C29:E29"/>
    <mergeCell ref="C30:E30"/>
    <mergeCell ref="C31:E31"/>
    <mergeCell ref="A33:E33"/>
    <mergeCell ref="C34:E34"/>
    <mergeCell ref="A41:E41"/>
    <mergeCell ref="C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7"/>
    <col collapsed="false" customWidth="true" hidden="false" outlineLevel="0" max="8" min="8" style="1" width="4"/>
  </cols>
  <sheetData>
    <row r="1" customFormat="false" ht="30" hidden="false" customHeight="true" outlineLevel="0" collapsed="false">
      <c r="A1" s="2" t="s">
        <v>59</v>
      </c>
      <c r="B1" s="2"/>
      <c r="C1" s="2"/>
      <c r="D1" s="2"/>
      <c r="E1" s="2"/>
      <c r="F1" s="2"/>
      <c r="G1" s="2"/>
      <c r="H1" s="2"/>
    </row>
    <row r="2" customFormat="false" ht="13.5" hidden="false" customHeight="true" outlineLevel="0" collapsed="false">
      <c r="A2" s="3" t="s">
        <v>60</v>
      </c>
      <c r="B2" s="3"/>
      <c r="C2" s="3"/>
      <c r="D2" s="3"/>
      <c r="E2" s="3"/>
      <c r="F2" s="3"/>
      <c r="G2" s="3"/>
      <c r="H2" s="3"/>
    </row>
    <row r="3" customFormat="false" ht="7.5" hidden="false" customHeight="true" outlineLevel="0" collapsed="false"/>
    <row r="4" customFormat="false" ht="18" hidden="false" customHeight="true" outlineLevel="0" collapsed="false">
      <c r="A4" s="5" t="s">
        <v>61</v>
      </c>
      <c r="B4" s="5"/>
      <c r="C4" s="5"/>
      <c r="D4" s="5"/>
      <c r="E4" s="5"/>
      <c r="F4" s="5"/>
      <c r="G4" s="5"/>
      <c r="H4" s="5"/>
    </row>
    <row r="5" customFormat="false" ht="15.75" hidden="false" customHeight="true" outlineLevel="0" collapsed="false">
      <c r="A5" s="6" t="s">
        <v>62</v>
      </c>
      <c r="B5" s="16" t="n">
        <f aca="false">Inputs!B23</f>
        <v>76656.9115</v>
      </c>
    </row>
    <row r="6" customFormat="false" ht="15.75" hidden="false" customHeight="true" outlineLevel="0" collapsed="false">
      <c r="A6" s="6" t="s">
        <v>63</v>
      </c>
      <c r="B6" s="17" t="n">
        <f aca="false">Inputs!B23*Inputs!B24</f>
        <v>45994.1469</v>
      </c>
    </row>
    <row r="7" customFormat="false" ht="15.75" hidden="false" customHeight="true" outlineLevel="0" collapsed="false">
      <c r="A7" s="6" t="s">
        <v>64</v>
      </c>
      <c r="B7" s="17" t="n">
        <f aca="false">Inputs!B23*Inputs!B25</f>
        <v>30662.7646</v>
      </c>
    </row>
    <row r="8" customFormat="false" ht="15.75" hidden="false" customHeight="true" outlineLevel="0" collapsed="false">
      <c r="A8" s="6" t="s">
        <v>65</v>
      </c>
      <c r="B8" s="17" t="n">
        <f aca="false">Calculations!B6*Inputs!B26</f>
        <v>32195.90283</v>
      </c>
    </row>
    <row r="9" customFormat="false" ht="15.75" hidden="false" customHeight="true" outlineLevel="0" collapsed="false">
      <c r="A9" s="6" t="s">
        <v>66</v>
      </c>
      <c r="B9" s="17" t="n">
        <f aca="false">Calculations!B6*Inputs!B27</f>
        <v>13798.24407</v>
      </c>
    </row>
    <row r="10" customFormat="false" ht="15.75" hidden="false" customHeight="true" outlineLevel="0" collapsed="false">
      <c r="A10" s="6" t="s">
        <v>67</v>
      </c>
      <c r="B10" s="18" t="n">
        <f aca="false">Calculations!B7/Inputs!B8</f>
        <v>14.9574461463415</v>
      </c>
    </row>
    <row r="11" customFormat="false" ht="15.75" hidden="false" customHeight="true" outlineLevel="0" collapsed="false">
      <c r="A11" s="6" t="s">
        <v>68</v>
      </c>
      <c r="B11" s="19" t="n">
        <f aca="false">Inputs!B7+Calculations!B10</f>
        <v>213.817446146341</v>
      </c>
    </row>
    <row r="12" customFormat="false" ht="7.5" hidden="false" customHeight="true" outlineLevel="0" collapsed="false"/>
    <row r="13" customFormat="false" ht="18" hidden="false" customHeight="true" outlineLevel="0" collapsed="false">
      <c r="A13" s="5" t="s">
        <v>69</v>
      </c>
      <c r="B13" s="5"/>
      <c r="C13" s="5"/>
      <c r="D13" s="5"/>
      <c r="E13" s="5"/>
      <c r="F13" s="5"/>
      <c r="G13" s="5"/>
      <c r="H13" s="5"/>
    </row>
    <row r="14" customFormat="false" ht="15.75" hidden="false" customHeight="true" outlineLevel="0" collapsed="false">
      <c r="A14" s="6" t="s">
        <v>70</v>
      </c>
      <c r="B14" s="17" t="n">
        <f aca="false">Calculations!B8*Inputs!B28</f>
        <v>2414.69271225</v>
      </c>
    </row>
    <row r="15" customFormat="false" ht="15.75" hidden="false" customHeight="true" outlineLevel="0" collapsed="false">
      <c r="A15" s="6" t="s">
        <v>71</v>
      </c>
      <c r="B15" s="17" t="n">
        <f aca="false">Calculations!B14*(1-Inputs!B30)</f>
        <v>1806.91455657667</v>
      </c>
    </row>
    <row r="16" customFormat="false" ht="15.75" hidden="false" customHeight="true" outlineLevel="0" collapsed="false">
      <c r="A16" s="6" t="s">
        <v>72</v>
      </c>
      <c r="B16" s="17" t="n">
        <f aca="false">Calculations!B9*Inputs!B29</f>
        <v>896.88586455</v>
      </c>
    </row>
    <row r="17" customFormat="false" ht="15.75" hidden="false" customHeight="true" outlineLevel="0" collapsed="false">
      <c r="A17" s="6" t="s">
        <v>73</v>
      </c>
      <c r="B17" s="17" t="n">
        <f aca="false">Calculations!B16*(1-Inputs!B30)</f>
        <v>671.139692442765</v>
      </c>
    </row>
    <row r="18" customFormat="false" ht="15.75" hidden="false" customHeight="true" outlineLevel="0" collapsed="false">
      <c r="A18" s="20" t="s">
        <v>74</v>
      </c>
      <c r="B18" s="16" t="n">
        <f aca="false">Calculations!B15+Calculations!B17</f>
        <v>2478.05424901944</v>
      </c>
    </row>
    <row r="19" customFormat="false" ht="7.5" hidden="false" customHeight="true" outlineLevel="0" collapsed="false"/>
    <row r="20" customFormat="false" ht="18" hidden="false" customHeight="true" outlineLevel="0" collapsed="false">
      <c r="A20" s="5" t="s">
        <v>75</v>
      </c>
      <c r="B20" s="5"/>
      <c r="C20" s="5"/>
      <c r="D20" s="5"/>
      <c r="E20" s="5"/>
      <c r="F20" s="5"/>
      <c r="G20" s="5"/>
      <c r="H20" s="5"/>
    </row>
    <row r="21" customFormat="false" ht="27.75" hidden="false" customHeight="true" outlineLevel="0" collapsed="false">
      <c r="A21" s="21"/>
      <c r="B21" s="21" t="s">
        <v>76</v>
      </c>
      <c r="C21" s="21" t="s">
        <v>77</v>
      </c>
      <c r="D21" s="21" t="s">
        <v>78</v>
      </c>
      <c r="E21" s="21" t="s">
        <v>79</v>
      </c>
      <c r="F21" s="21" t="s">
        <v>80</v>
      </c>
    </row>
    <row r="22" customFormat="false" ht="15.75" hidden="false" customHeight="true" outlineLevel="0" collapsed="false">
      <c r="A22" s="6" t="s">
        <v>81</v>
      </c>
      <c r="B22" s="22" t="n">
        <f aca="false">Inputs!B35</f>
        <v>0.15</v>
      </c>
      <c r="C22" s="22" t="n">
        <f aca="false">Inputs!B36</f>
        <v>0.4</v>
      </c>
      <c r="D22" s="22" t="n">
        <f aca="false">Inputs!B37</f>
        <v>0.7</v>
      </c>
      <c r="E22" s="22" t="n">
        <f aca="false">Inputs!B38</f>
        <v>0.9</v>
      </c>
      <c r="F22" s="22" t="n">
        <f aca="false">Inputs!B39</f>
        <v>1</v>
      </c>
    </row>
    <row r="23" customFormat="false" ht="15.75" hidden="false" customHeight="true" outlineLevel="0" collapsed="false">
      <c r="A23" s="6" t="s">
        <v>82</v>
      </c>
      <c r="B23" s="17" t="n">
        <f aca="false">Inputs!B34*Inputs!B35</f>
        <v>330</v>
      </c>
      <c r="C23" s="17" t="n">
        <f aca="false">Inputs!B34*Inputs!B36</f>
        <v>880</v>
      </c>
      <c r="D23" s="17" t="n">
        <f aca="false">Inputs!B34*Inputs!B37</f>
        <v>1540</v>
      </c>
      <c r="E23" s="17" t="n">
        <f aca="false">Inputs!B34*Inputs!B38</f>
        <v>1980</v>
      </c>
      <c r="F23" s="17" t="n">
        <f aca="false">Inputs!B34*Inputs!B39</f>
        <v>2200</v>
      </c>
    </row>
    <row r="24" customFormat="false" ht="15.75" hidden="false" customHeight="true" outlineLevel="0" collapsed="false">
      <c r="A24" s="20" t="s">
        <v>83</v>
      </c>
      <c r="B24" s="23" t="n">
        <f aca="false">Calculations!B23*(1-Inputs!B30)</f>
        <v>246.939</v>
      </c>
      <c r="C24" s="23" t="n">
        <f aca="false">Calculations!C23*(1-Inputs!B30)</f>
        <v>658.504</v>
      </c>
      <c r="D24" s="23" t="n">
        <f aca="false">Calculations!D23*(1-Inputs!B30)</f>
        <v>1152.382</v>
      </c>
      <c r="E24" s="23" t="n">
        <f aca="false">Calculations!E23*(1-Inputs!B30)</f>
        <v>1481.634</v>
      </c>
      <c r="F24" s="23" t="n">
        <f aca="false">Calculations!F23*(1-Inputs!B30)</f>
        <v>1646.26</v>
      </c>
    </row>
    <row r="25" customFormat="false" ht="7.5" hidden="false" customHeight="true" outlineLevel="0" collapsed="false"/>
    <row r="26" customFormat="false" ht="18" hidden="false" customHeight="true" outlineLevel="0" collapsed="false">
      <c r="A26" s="5" t="s">
        <v>84</v>
      </c>
      <c r="B26" s="5"/>
      <c r="C26" s="5"/>
      <c r="D26" s="5"/>
      <c r="E26" s="5"/>
      <c r="F26" s="5"/>
      <c r="G26" s="5"/>
      <c r="H26" s="5"/>
    </row>
    <row r="27" customFormat="false" ht="27.75" hidden="false" customHeight="true" outlineLevel="0" collapsed="false">
      <c r="A27" s="21"/>
      <c r="B27" s="21" t="s">
        <v>76</v>
      </c>
      <c r="C27" s="21" t="s">
        <v>77</v>
      </c>
      <c r="D27" s="21" t="s">
        <v>78</v>
      </c>
      <c r="E27" s="21" t="s">
        <v>79</v>
      </c>
      <c r="F27" s="21" t="s">
        <v>80</v>
      </c>
    </row>
    <row r="28" customFormat="false" ht="15.75" hidden="false" customHeight="true" outlineLevel="0" collapsed="false">
      <c r="A28" s="6" t="s">
        <v>85</v>
      </c>
      <c r="B28" s="17" t="n">
        <f aca="false">Inputs!B6</f>
        <v>19288</v>
      </c>
      <c r="C28" s="17" t="n">
        <f aca="false">Inputs!B6</f>
        <v>19288</v>
      </c>
      <c r="D28" s="17" t="n">
        <f aca="false">Inputs!B6</f>
        <v>19288</v>
      </c>
      <c r="E28" s="17" t="n">
        <f aca="false">Inputs!B6</f>
        <v>19288</v>
      </c>
      <c r="F28" s="17" t="n">
        <f aca="false">Inputs!B6</f>
        <v>19288</v>
      </c>
    </row>
    <row r="29" customFormat="false" ht="15.75" hidden="false" customHeight="true" outlineLevel="0" collapsed="false">
      <c r="A29" s="6" t="s">
        <v>86</v>
      </c>
      <c r="B29" s="17" t="n">
        <f aca="false">Inputs!B14</f>
        <v>1636</v>
      </c>
      <c r="C29" s="17" t="n">
        <f aca="false">Inputs!B14</f>
        <v>1636</v>
      </c>
      <c r="D29" s="17" t="n">
        <f aca="false">Inputs!B14</f>
        <v>1636</v>
      </c>
      <c r="E29" s="17" t="n">
        <f aca="false">Inputs!B14</f>
        <v>1636</v>
      </c>
      <c r="F29" s="17" t="n">
        <f aca="false">Inputs!B14</f>
        <v>1636</v>
      </c>
    </row>
    <row r="30" customFormat="false" ht="15.75" hidden="false" customHeight="true" outlineLevel="0" collapsed="false">
      <c r="A30" s="6" t="s">
        <v>87</v>
      </c>
      <c r="B30" s="24" t="n">
        <f aca="false">Calculations!B24</f>
        <v>246.939</v>
      </c>
      <c r="C30" s="24" t="n">
        <f aca="false">Calculations!C24</f>
        <v>658.504</v>
      </c>
      <c r="D30" s="24" t="n">
        <f aca="false">Calculations!D24</f>
        <v>1152.382</v>
      </c>
      <c r="E30" s="24" t="n">
        <f aca="false">Calculations!E24</f>
        <v>1481.634</v>
      </c>
      <c r="F30" s="24" t="n">
        <f aca="false">Calculations!F24</f>
        <v>1646.26</v>
      </c>
    </row>
    <row r="31" customFormat="false" ht="15.75" hidden="false" customHeight="true" outlineLevel="0" collapsed="false">
      <c r="A31" s="6" t="s">
        <v>88</v>
      </c>
      <c r="B31" s="17" t="n">
        <f aca="false">Calculations!B18</f>
        <v>2478.05424901944</v>
      </c>
      <c r="C31" s="17" t="n">
        <f aca="false">Calculations!B18</f>
        <v>2478.05424901944</v>
      </c>
      <c r="D31" s="17" t="n">
        <f aca="false">Calculations!B18</f>
        <v>2478.05424901944</v>
      </c>
      <c r="E31" s="17" t="n">
        <f aca="false">Calculations!B18</f>
        <v>2478.05424901944</v>
      </c>
      <c r="F31" s="17" t="n">
        <f aca="false">Calculations!B18</f>
        <v>2478.05424901944</v>
      </c>
    </row>
    <row r="32" customFormat="false" ht="15.75" hidden="false" customHeight="true" outlineLevel="0" collapsed="false">
      <c r="A32" s="20" t="s">
        <v>89</v>
      </c>
      <c r="B32" s="25" t="n">
        <f aca="false">Calculations!B28+Calculations!B29+Calculations!B30-Calculations!B31</f>
        <v>18692.8847509806</v>
      </c>
      <c r="C32" s="25" t="n">
        <f aca="false">Calculations!C28+Calculations!C29+Calculations!C30-Calculations!C31</f>
        <v>19104.4497509806</v>
      </c>
      <c r="D32" s="25" t="n">
        <f aca="false">Calculations!D28+Calculations!D29+Calculations!D30-Calculations!D31</f>
        <v>19598.3277509806</v>
      </c>
      <c r="E32" s="25" t="n">
        <f aca="false">Calculations!E28+Calculations!E29+Calculations!E30-Calculations!E31</f>
        <v>19927.5797509806</v>
      </c>
      <c r="F32" s="25" t="n">
        <f aca="false">Calculations!F28+Calculations!F29+Calculations!F30-Calculations!F31</f>
        <v>20092.2057509806</v>
      </c>
    </row>
    <row r="33" customFormat="false" ht="7.5" hidden="false" customHeight="true" outlineLevel="0" collapsed="false"/>
    <row r="34" customFormat="false" ht="18" hidden="false" customHeight="true" outlineLevel="0" collapsed="false">
      <c r="A34" s="5" t="s">
        <v>90</v>
      </c>
      <c r="B34" s="5"/>
      <c r="C34" s="5"/>
      <c r="D34" s="5"/>
      <c r="E34" s="5"/>
      <c r="F34" s="5"/>
      <c r="G34" s="5"/>
      <c r="H34" s="5"/>
    </row>
    <row r="35" customFormat="false" ht="27.75" hidden="false" customHeight="true" outlineLevel="0" collapsed="false">
      <c r="A35" s="21"/>
      <c r="B35" s="21" t="s">
        <v>91</v>
      </c>
      <c r="C35" s="21" t="s">
        <v>76</v>
      </c>
      <c r="D35" s="21" t="s">
        <v>77</v>
      </c>
      <c r="E35" s="21" t="s">
        <v>78</v>
      </c>
      <c r="F35" s="21" t="s">
        <v>79</v>
      </c>
      <c r="G35" s="21" t="s">
        <v>80</v>
      </c>
    </row>
    <row r="36" customFormat="false" ht="15.75" hidden="false" customHeight="true" outlineLevel="0" collapsed="false">
      <c r="A36" s="6" t="s">
        <v>92</v>
      </c>
      <c r="B36" s="16" t="n">
        <f aca="false">Inputs!B6</f>
        <v>19288</v>
      </c>
      <c r="C36" s="17" t="n">
        <f aca="false">Calculations!B32</f>
        <v>18692.8847509806</v>
      </c>
      <c r="D36" s="17" t="n">
        <f aca="false">Calculations!C32</f>
        <v>19104.4497509806</v>
      </c>
      <c r="E36" s="17" t="n">
        <f aca="false">Calculations!D32</f>
        <v>19598.3277509806</v>
      </c>
      <c r="F36" s="17" t="n">
        <f aca="false">Calculations!E32</f>
        <v>19927.5797509806</v>
      </c>
      <c r="G36" s="17" t="n">
        <f aca="false">Calculations!F32</f>
        <v>20092.2057509806</v>
      </c>
    </row>
    <row r="37" customFormat="false" ht="15.75" hidden="false" customHeight="true" outlineLevel="0" collapsed="false">
      <c r="A37" s="6" t="s">
        <v>93</v>
      </c>
      <c r="B37" s="18" t="n">
        <f aca="false">Inputs!B7</f>
        <v>198.86</v>
      </c>
      <c r="C37" s="18" t="n">
        <f aca="false">Calculations!B11</f>
        <v>213.817446146341</v>
      </c>
      <c r="D37" s="18" t="n">
        <f aca="false">Calculations!B11</f>
        <v>213.817446146341</v>
      </c>
      <c r="E37" s="18" t="n">
        <f aca="false">Calculations!B11</f>
        <v>213.817446146341</v>
      </c>
      <c r="F37" s="18" t="n">
        <f aca="false">Calculations!B11</f>
        <v>213.817446146341</v>
      </c>
      <c r="G37" s="18" t="n">
        <f aca="false">Calculations!B11</f>
        <v>213.817446146341</v>
      </c>
    </row>
    <row r="38" customFormat="false" ht="15.75" hidden="false" customHeight="true" outlineLevel="0" collapsed="false">
      <c r="A38" s="20" t="s">
        <v>94</v>
      </c>
      <c r="B38" s="26" t="n">
        <f aca="false">Calculations!B36/(Inputs!B7*100)</f>
        <v>0.969928592979986</v>
      </c>
      <c r="C38" s="27" t="n">
        <f aca="false">Calculations!B32/(Calculations!B11*100)</f>
        <v>0.874245066896306</v>
      </c>
      <c r="D38" s="27" t="n">
        <f aca="false">Calculations!C32/(Calculations!B11*100)</f>
        <v>0.893493496218501</v>
      </c>
      <c r="E38" s="27" t="n">
        <f aca="false">Calculations!D32/(Calculations!B11*100)</f>
        <v>0.916591611405134</v>
      </c>
      <c r="F38" s="27" t="n">
        <f aca="false">Calculations!E32/(Calculations!B11*100)</f>
        <v>0.93199035486289</v>
      </c>
      <c r="G38" s="27" t="n">
        <f aca="false">Calculations!F32/(Calculations!B11*100)</f>
        <v>0.939689726591768</v>
      </c>
    </row>
    <row r="39" customFormat="false" ht="15.75" hidden="false" customHeight="true" outlineLevel="0" collapsed="false">
      <c r="A39" s="6" t="s">
        <v>95</v>
      </c>
      <c r="B39" s="28" t="s">
        <v>96</v>
      </c>
      <c r="C39" s="29" t="n">
        <f aca="false">Calculations!C38-Calculations!B38</f>
        <v>-0.0956835260836799</v>
      </c>
      <c r="D39" s="29" t="n">
        <f aca="false">Calculations!D38-Calculations!B38</f>
        <v>-0.0764350967614852</v>
      </c>
      <c r="E39" s="29" t="n">
        <f aca="false">Calculations!E38-Calculations!B38</f>
        <v>-0.0533369815748517</v>
      </c>
      <c r="F39" s="29" t="n">
        <f aca="false">Calculations!F38-Calculations!B38</f>
        <v>-0.0379382381170962</v>
      </c>
      <c r="G39" s="29" t="n">
        <f aca="false">Calculations!G38-Calculations!B38</f>
        <v>-0.0302388663882183</v>
      </c>
    </row>
    <row r="40" customFormat="false" ht="15.75" hidden="false" customHeight="true" outlineLevel="0" collapsed="false">
      <c r="A40" s="20" t="s">
        <v>97</v>
      </c>
      <c r="B40" s="30" t="s">
        <v>96</v>
      </c>
      <c r="C40" s="31" t="n">
        <f aca="false">(Calculations!C38-Calculations!B38)/Calculations!B38</f>
        <v>-0.0986500725684394</v>
      </c>
      <c r="D40" s="31" t="n">
        <f aca="false">(Calculations!D38-Calculations!B38)/Calculations!B38</f>
        <v>-0.0788048700849696</v>
      </c>
      <c r="E40" s="31" t="n">
        <f aca="false">(Calculations!E38-Calculations!B38)/Calculations!B38</f>
        <v>-0.0549906271048061</v>
      </c>
      <c r="F40" s="31" t="n">
        <f aca="false">(Calculations!F38-Calculations!B38)/Calculations!B38</f>
        <v>-0.0391144651180306</v>
      </c>
      <c r="G40" s="31" t="n">
        <f aca="false">(Calculations!G38-Calculations!B38)/Calculations!B38</f>
        <v>-0.0311763841246427</v>
      </c>
    </row>
    <row r="41" customFormat="false" ht="7.5" hidden="false" customHeight="true" outlineLevel="0" collapsed="false"/>
    <row r="42" customFormat="false" ht="18" hidden="false" customHeight="true" outlineLevel="0" collapsed="false">
      <c r="A42" s="5" t="s">
        <v>98</v>
      </c>
      <c r="B42" s="5"/>
      <c r="C42" s="5"/>
      <c r="D42" s="5"/>
      <c r="E42" s="5"/>
      <c r="F42" s="5"/>
      <c r="G42" s="5"/>
      <c r="H42" s="5"/>
    </row>
    <row r="43" customFormat="false" ht="15" hidden="false" customHeight="true" outlineLevel="0" collapsed="false">
      <c r="A43" s="32" t="s">
        <v>99</v>
      </c>
      <c r="B43" s="32" t="s">
        <v>91</v>
      </c>
      <c r="C43" s="32" t="s">
        <v>76</v>
      </c>
      <c r="D43" s="32" t="s">
        <v>77</v>
      </c>
      <c r="E43" s="32" t="s">
        <v>78</v>
      </c>
      <c r="F43" s="32" t="s">
        <v>79</v>
      </c>
      <c r="G43" s="32" t="s">
        <v>80</v>
      </c>
    </row>
    <row r="44" customFormat="false" ht="15.75" hidden="false" customHeight="true" outlineLevel="0" collapsed="false">
      <c r="A44" s="33" t="s">
        <v>100</v>
      </c>
      <c r="B44" s="34" t="n">
        <f aca="false">Inputs!B6</f>
        <v>19288</v>
      </c>
      <c r="C44" s="34" t="n">
        <f aca="false">Inputs!B6</f>
        <v>19288</v>
      </c>
      <c r="D44" s="34" t="n">
        <f aca="false">Inputs!B6</f>
        <v>19288</v>
      </c>
      <c r="E44" s="34" t="n">
        <f aca="false">Inputs!B6</f>
        <v>19288</v>
      </c>
      <c r="F44" s="34" t="n">
        <f aca="false">Inputs!B6</f>
        <v>19288</v>
      </c>
      <c r="G44" s="34" t="n">
        <f aca="false">Inputs!B6</f>
        <v>19288</v>
      </c>
    </row>
    <row r="45" customFormat="false" ht="15.75" hidden="false" customHeight="true" outlineLevel="0" collapsed="false">
      <c r="A45" s="35" t="s">
        <v>101</v>
      </c>
      <c r="B45" s="17" t="n">
        <f aca="false">Inputs!B14</f>
        <v>1636</v>
      </c>
      <c r="C45" s="17" t="n">
        <f aca="false">Inputs!B14</f>
        <v>1636</v>
      </c>
      <c r="D45" s="17" t="n">
        <f aca="false">Inputs!B14</f>
        <v>1636</v>
      </c>
      <c r="E45" s="17" t="n">
        <f aca="false">Inputs!B14</f>
        <v>1636</v>
      </c>
      <c r="F45" s="17" t="n">
        <f aca="false">Inputs!B14</f>
        <v>1636</v>
      </c>
      <c r="G45" s="17" t="n">
        <f aca="false">Inputs!B14</f>
        <v>1636</v>
      </c>
    </row>
    <row r="46" customFormat="false" ht="15.75" hidden="false" customHeight="true" outlineLevel="0" collapsed="false">
      <c r="A46" s="33" t="s">
        <v>83</v>
      </c>
      <c r="B46" s="36" t="s">
        <v>96</v>
      </c>
      <c r="C46" s="34" t="n">
        <f aca="false">Calculations!B24</f>
        <v>246.939</v>
      </c>
      <c r="D46" s="34" t="n">
        <f aca="false">Calculations!C24</f>
        <v>658.504</v>
      </c>
      <c r="E46" s="34" t="n">
        <f aca="false">Calculations!D24</f>
        <v>1152.382</v>
      </c>
      <c r="F46" s="34" t="n">
        <f aca="false">Calculations!E24</f>
        <v>1481.634</v>
      </c>
      <c r="G46" s="34" t="n">
        <f aca="false">Calculations!F24</f>
        <v>1646.26</v>
      </c>
    </row>
    <row r="47" customFormat="false" ht="15.75" hidden="false" customHeight="true" outlineLevel="0" collapsed="false">
      <c r="A47" s="35" t="s">
        <v>102</v>
      </c>
      <c r="B47" s="17" t="n">
        <f aca="false">Calculations!B18</f>
        <v>2478.05424901944</v>
      </c>
      <c r="C47" s="17" t="n">
        <f aca="false">Calculations!B18</f>
        <v>2478.05424901944</v>
      </c>
      <c r="D47" s="17" t="n">
        <f aca="false">Calculations!B18</f>
        <v>2478.05424901944</v>
      </c>
      <c r="E47" s="17" t="n">
        <f aca="false">Calculations!B18</f>
        <v>2478.05424901944</v>
      </c>
      <c r="F47" s="17" t="n">
        <f aca="false">Calculations!B18</f>
        <v>2478.05424901944</v>
      </c>
      <c r="G47" s="17" t="n">
        <f aca="false">Calculations!B18</f>
        <v>2478.05424901944</v>
      </c>
    </row>
    <row r="48" customFormat="false" ht="15.75" hidden="false" customHeight="true" outlineLevel="0" collapsed="false">
      <c r="A48" s="33" t="s">
        <v>89</v>
      </c>
      <c r="B48" s="34" t="n">
        <f aca="false">Calculations!B32</f>
        <v>18692.8847509806</v>
      </c>
      <c r="C48" s="34" t="n">
        <f aca="false">Calculations!B32</f>
        <v>18692.8847509806</v>
      </c>
      <c r="D48" s="34" t="n">
        <f aca="false">Calculations!C32</f>
        <v>19104.4497509806</v>
      </c>
      <c r="E48" s="34" t="n">
        <f aca="false">Calculations!D32</f>
        <v>19598.3277509806</v>
      </c>
      <c r="F48" s="34" t="n">
        <f aca="false">Calculations!E32</f>
        <v>19927.5797509806</v>
      </c>
      <c r="G48" s="34" t="n">
        <f aca="false">Calculations!F32</f>
        <v>20092.2057509806</v>
      </c>
    </row>
    <row r="49" customFormat="false" ht="15.75" hidden="false" customHeight="true" outlineLevel="0" collapsed="false">
      <c r="A49" s="35" t="s">
        <v>103</v>
      </c>
      <c r="B49" s="18" t="n">
        <f aca="false">Inputs!B7</f>
        <v>198.86</v>
      </c>
      <c r="C49" s="18" t="n">
        <f aca="false">Calculations!B11</f>
        <v>213.817446146341</v>
      </c>
      <c r="D49" s="18" t="n">
        <f aca="false">Calculations!B11</f>
        <v>213.817446146341</v>
      </c>
      <c r="E49" s="18" t="n">
        <f aca="false">Calculations!B11</f>
        <v>213.817446146341</v>
      </c>
      <c r="F49" s="18" t="n">
        <f aca="false">Calculations!B11</f>
        <v>213.817446146341</v>
      </c>
      <c r="G49" s="18" t="n">
        <f aca="false">Calculations!B11</f>
        <v>213.817446146341</v>
      </c>
    </row>
    <row r="50" customFormat="false" ht="15.75" hidden="false" customHeight="true" outlineLevel="0" collapsed="false">
      <c r="A50" s="33" t="s">
        <v>104</v>
      </c>
      <c r="B50" s="37" t="n">
        <f aca="false">Calculations!B38</f>
        <v>0.969928592979986</v>
      </c>
      <c r="C50" s="37" t="n">
        <f aca="false">Calculations!B38</f>
        <v>0.969928592979986</v>
      </c>
      <c r="D50" s="37" t="n">
        <f aca="false">Calculations!B38</f>
        <v>0.969928592979986</v>
      </c>
      <c r="E50" s="37" t="n">
        <f aca="false">Calculations!B38</f>
        <v>0.969928592979986</v>
      </c>
      <c r="F50" s="37" t="n">
        <f aca="false">Calculations!B38</f>
        <v>0.969928592979986</v>
      </c>
      <c r="G50" s="37" t="n">
        <f aca="false">Calculations!B38</f>
        <v>0.969928592979986</v>
      </c>
    </row>
    <row r="51" customFormat="false" ht="15.75" hidden="false" customHeight="true" outlineLevel="0" collapsed="false">
      <c r="A51" s="35" t="s">
        <v>105</v>
      </c>
      <c r="B51" s="29" t="n">
        <f aca="false">Calculations!B38</f>
        <v>0.969928592979986</v>
      </c>
      <c r="C51" s="29" t="n">
        <f aca="false">Calculations!C38</f>
        <v>0.874245066896306</v>
      </c>
      <c r="D51" s="29" t="n">
        <f aca="false">Calculations!D38</f>
        <v>0.893493496218501</v>
      </c>
      <c r="E51" s="29" t="n">
        <f aca="false">Calculations!E38</f>
        <v>0.916591611405134</v>
      </c>
      <c r="F51" s="29" t="n">
        <f aca="false">Calculations!F38</f>
        <v>0.93199035486289</v>
      </c>
      <c r="G51" s="29" t="n">
        <f aca="false">Calculations!G38</f>
        <v>0.939689726591768</v>
      </c>
    </row>
    <row r="52" customFormat="false" ht="15.75" hidden="false" customHeight="true" outlineLevel="0" collapsed="false">
      <c r="A52" s="33" t="s">
        <v>106</v>
      </c>
      <c r="B52" s="36" t="s">
        <v>96</v>
      </c>
      <c r="C52" s="38" t="n">
        <f aca="false">Calculations!C40</f>
        <v>-0.0986500725684394</v>
      </c>
      <c r="D52" s="38" t="n">
        <f aca="false">Calculations!D40</f>
        <v>-0.0788048700849696</v>
      </c>
      <c r="E52" s="38" t="n">
        <f aca="false">Calculations!E40</f>
        <v>-0.0549906271048061</v>
      </c>
      <c r="F52" s="38" t="n">
        <f aca="false">Calculations!F40</f>
        <v>-0.0391144651180306</v>
      </c>
      <c r="G52" s="38" t="n">
        <f aca="false">Calculations!G40</f>
        <v>-0.0311763841246427</v>
      </c>
    </row>
    <row r="53" customFormat="false" ht="15.75" hidden="false" customHeight="true" outlineLevel="0" collapsed="false">
      <c r="A53" s="35" t="s">
        <v>65</v>
      </c>
      <c r="B53" s="17" t="n">
        <f aca="false">Calculations!B8</f>
        <v>32195.90283</v>
      </c>
      <c r="C53" s="17" t="n">
        <f aca="false">Calculations!B8</f>
        <v>32195.90283</v>
      </c>
      <c r="D53" s="17" t="n">
        <f aca="false">Calculations!B8</f>
        <v>32195.90283</v>
      </c>
      <c r="E53" s="17" t="n">
        <f aca="false">Calculations!B8</f>
        <v>32195.90283</v>
      </c>
      <c r="F53" s="17" t="n">
        <f aca="false">Calculations!B8</f>
        <v>32195.90283</v>
      </c>
      <c r="G53" s="17" t="n">
        <f aca="false">Calculations!B8</f>
        <v>32195.90283</v>
      </c>
    </row>
    <row r="54" customFormat="false" ht="15.75" hidden="false" customHeight="true" outlineLevel="0" collapsed="false">
      <c r="A54" s="33" t="s">
        <v>107</v>
      </c>
      <c r="B54" s="34" t="n">
        <f aca="false">Calculations!B9</f>
        <v>13798.24407</v>
      </c>
      <c r="C54" s="34" t="n">
        <f aca="false">Calculations!B9</f>
        <v>13798.24407</v>
      </c>
      <c r="D54" s="34" t="n">
        <f aca="false">Calculations!B9</f>
        <v>13798.24407</v>
      </c>
      <c r="E54" s="34" t="n">
        <f aca="false">Calculations!B9</f>
        <v>13798.24407</v>
      </c>
      <c r="F54" s="34" t="n">
        <f aca="false">Calculations!B9</f>
        <v>13798.24407</v>
      </c>
      <c r="G54" s="34" t="n">
        <f aca="false">Calculations!B9</f>
        <v>13798.24407</v>
      </c>
    </row>
    <row r="55" customFormat="false" ht="15.75" hidden="false" customHeight="true" outlineLevel="0" collapsed="false">
      <c r="A55" s="35" t="s">
        <v>62</v>
      </c>
      <c r="B55" s="17" t="n">
        <f aca="false">Inputs!B23</f>
        <v>76656.9115</v>
      </c>
      <c r="C55" s="17" t="n">
        <f aca="false">Inputs!B23</f>
        <v>76656.9115</v>
      </c>
      <c r="D55" s="17" t="n">
        <f aca="false">Inputs!B23</f>
        <v>76656.9115</v>
      </c>
      <c r="E55" s="17" t="n">
        <f aca="false">Inputs!B23</f>
        <v>76656.9115</v>
      </c>
      <c r="F55" s="17" t="n">
        <f aca="false">Inputs!B23</f>
        <v>76656.9115</v>
      </c>
      <c r="G55" s="17" t="n">
        <f aca="false">Inputs!B23</f>
        <v>76656.9115</v>
      </c>
    </row>
    <row r="56" customFormat="false" ht="15.75" hidden="false" customHeight="true" outlineLevel="0" collapsed="false">
      <c r="A56" s="33" t="s">
        <v>108</v>
      </c>
      <c r="B56" s="39" t="n">
        <f aca="false">Inputs!B21</f>
        <v>0.3</v>
      </c>
      <c r="C56" s="39" t="n">
        <f aca="false">Inputs!B21</f>
        <v>0.3</v>
      </c>
      <c r="D56" s="39" t="n">
        <f aca="false">Inputs!B21</f>
        <v>0.3</v>
      </c>
      <c r="E56" s="39" t="n">
        <f aca="false">Inputs!B21</f>
        <v>0.3</v>
      </c>
      <c r="F56" s="39" t="n">
        <f aca="false">Inputs!B21</f>
        <v>0.3</v>
      </c>
      <c r="G56" s="39" t="n">
        <f aca="false">Inputs!B21</f>
        <v>0.3</v>
      </c>
    </row>
    <row r="57" customFormat="false" ht="15.75" hidden="false" customHeight="true" outlineLevel="0" collapsed="false">
      <c r="A57" s="35" t="s">
        <v>109</v>
      </c>
      <c r="B57" s="22" t="n">
        <f aca="false">Inputs!B24</f>
        <v>0.6</v>
      </c>
      <c r="C57" s="22" t="n">
        <f aca="false">Inputs!B24</f>
        <v>0.6</v>
      </c>
      <c r="D57" s="22" t="n">
        <f aca="false">Inputs!B24</f>
        <v>0.6</v>
      </c>
      <c r="E57" s="22" t="n">
        <f aca="false">Inputs!B24</f>
        <v>0.6</v>
      </c>
      <c r="F57" s="22" t="n">
        <f aca="false">Inputs!B24</f>
        <v>0.6</v>
      </c>
      <c r="G57" s="22" t="n">
        <f aca="false">Inputs!B24</f>
        <v>0.6</v>
      </c>
    </row>
    <row r="58" customFormat="false" ht="15.75" hidden="false" customHeight="true" outlineLevel="0" collapsed="false">
      <c r="A58" s="33" t="s">
        <v>110</v>
      </c>
      <c r="B58" s="39" t="n">
        <f aca="false">Inputs!B25</f>
        <v>0.4</v>
      </c>
      <c r="C58" s="39" t="n">
        <f aca="false">Inputs!B25</f>
        <v>0.4</v>
      </c>
      <c r="D58" s="39" t="n">
        <f aca="false">Inputs!B25</f>
        <v>0.4</v>
      </c>
      <c r="E58" s="39" t="n">
        <f aca="false">Inputs!B25</f>
        <v>0.4</v>
      </c>
      <c r="F58" s="39" t="n">
        <f aca="false">Inputs!B25</f>
        <v>0.4</v>
      </c>
      <c r="G58" s="39" t="n">
        <f aca="false">Inputs!B25</f>
        <v>0.4</v>
      </c>
    </row>
  </sheetData>
  <mergeCells count="8">
    <mergeCell ref="A1:H1"/>
    <mergeCell ref="A2:H2"/>
    <mergeCell ref="A4:H4"/>
    <mergeCell ref="A13:H13"/>
    <mergeCell ref="A20:H20"/>
    <mergeCell ref="A26:H26"/>
    <mergeCell ref="A34:H34"/>
    <mergeCell ref="A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3"/>
    <col collapsed="false" customWidth="true" hidden="false" outlineLevel="0" max="5" min="5" style="1" width="32"/>
    <col collapsed="false" customWidth="true" hidden="false" outlineLevel="0" max="6" min="6" style="1" width="18"/>
    <col collapsed="false" customWidth="true" hidden="false" outlineLevel="0" max="7" min="7" style="1" width="2"/>
  </cols>
  <sheetData>
    <row r="1" customFormat="false" ht="6" hidden="false" customHeight="true" outlineLevel="0" collapsed="false"/>
    <row r="2" customFormat="false" ht="6" hidden="false" customHeight="true" outlineLevel="0" collapsed="false"/>
    <row r="3" customFormat="false" ht="36" hidden="false" customHeight="true" outlineLevel="0" collapsed="false">
      <c r="A3" s="40"/>
      <c r="B3" s="41" t="s">
        <v>111</v>
      </c>
      <c r="C3" s="41"/>
      <c r="D3" s="41"/>
      <c r="E3" s="41"/>
      <c r="F3" s="41"/>
      <c r="G3" s="40"/>
    </row>
    <row r="4" customFormat="false" ht="19.5" hidden="false" customHeight="true" outlineLevel="0" collapsed="false">
      <c r="A4" s="42"/>
      <c r="B4" s="43" t="s">
        <v>112</v>
      </c>
      <c r="C4" s="43"/>
      <c r="D4" s="43"/>
      <c r="E4" s="43"/>
      <c r="F4" s="43"/>
      <c r="G4" s="42"/>
    </row>
    <row r="5" customFormat="false" ht="15.75" hidden="false" customHeight="true" outlineLevel="0" collapsed="false">
      <c r="B5" s="44" t="s">
        <v>113</v>
      </c>
      <c r="C5" s="44"/>
      <c r="E5" s="45" t="s">
        <v>114</v>
      </c>
      <c r="F5" s="45"/>
    </row>
    <row r="6" customFormat="false" ht="7.5" hidden="false" customHeight="true" outlineLevel="0" collapsed="false"/>
    <row r="7" customFormat="false" ht="24" hidden="false" customHeight="true" outlineLevel="0" collapsed="false">
      <c r="B7" s="46" t="s">
        <v>115</v>
      </c>
      <c r="C7" s="46"/>
      <c r="D7" s="47"/>
      <c r="E7" s="48" t="s">
        <v>116</v>
      </c>
      <c r="F7" s="48"/>
    </row>
    <row r="8" customFormat="false" ht="18" hidden="false" customHeight="true" outlineLevel="0" collapsed="false">
      <c r="B8" s="49" t="s">
        <v>117</v>
      </c>
      <c r="C8" s="50" t="n">
        <f aca="false">Inputs!B23</f>
        <v>76656.9115</v>
      </c>
      <c r="D8" s="47"/>
      <c r="E8" s="49" t="s">
        <v>118</v>
      </c>
      <c r="F8" s="50" t="n">
        <f aca="false">Calculations!B8</f>
        <v>32195.90283</v>
      </c>
    </row>
    <row r="9" customFormat="false" ht="18" hidden="false" customHeight="true" outlineLevel="0" collapsed="false">
      <c r="B9" s="51" t="s">
        <v>119</v>
      </c>
      <c r="C9" s="52" t="n">
        <f aca="false">Calculations!B6</f>
        <v>45994.1469</v>
      </c>
      <c r="D9" s="47"/>
      <c r="E9" s="53" t="s">
        <v>120</v>
      </c>
      <c r="F9" s="52" t="n">
        <f aca="false">Calculations!B9</f>
        <v>13798.24407</v>
      </c>
    </row>
    <row r="10" customFormat="false" ht="18" hidden="false" customHeight="true" outlineLevel="0" collapsed="false">
      <c r="B10" s="54" t="s">
        <v>121</v>
      </c>
      <c r="C10" s="50" t="n">
        <f aca="false">Calculations!B7</f>
        <v>30662.7646</v>
      </c>
      <c r="D10" s="47"/>
      <c r="E10" s="49" t="s">
        <v>122</v>
      </c>
      <c r="F10" s="50" t="n">
        <f aca="false">Calculations!B7</f>
        <v>30662.7646</v>
      </c>
    </row>
    <row r="11" customFormat="false" ht="18" hidden="false" customHeight="true" outlineLevel="0" collapsed="false">
      <c r="B11" s="53" t="s">
        <v>123</v>
      </c>
      <c r="C11" s="52" t="n">
        <f aca="false">Inputs!B23*Inputs!B21/(1+Inputs!B21)</f>
        <v>17690.0565</v>
      </c>
      <c r="D11" s="47"/>
      <c r="E11" s="53" t="s">
        <v>124</v>
      </c>
      <c r="F11" s="52" t="n">
        <f aca="false">Inputs!B31</f>
        <v>850</v>
      </c>
    </row>
    <row r="12" customFormat="false" ht="18" hidden="false" customHeight="true" outlineLevel="0" collapsed="false">
      <c r="B12" s="49" t="s">
        <v>125</v>
      </c>
      <c r="C12" s="50" t="n">
        <f aca="false">Inputs!B31</f>
        <v>850</v>
      </c>
      <c r="D12" s="47"/>
      <c r="E12" s="49"/>
      <c r="F12" s="50"/>
    </row>
    <row r="13" customFormat="false" ht="6" hidden="false" customHeight="true" outlineLevel="0" collapsed="false">
      <c r="B13" s="47"/>
      <c r="C13" s="47"/>
      <c r="D13" s="47"/>
      <c r="E13" s="47"/>
      <c r="F13" s="47"/>
    </row>
    <row r="14" customFormat="false" ht="24" hidden="false" customHeight="true" outlineLevel="0" collapsed="false">
      <c r="B14" s="55" t="s">
        <v>126</v>
      </c>
      <c r="C14" s="56" t="n">
        <f aca="false">Inputs!B23+Inputs!B31</f>
        <v>77506.9115</v>
      </c>
      <c r="D14" s="47"/>
      <c r="E14" s="55" t="s">
        <v>127</v>
      </c>
      <c r="F14" s="56" t="n">
        <f aca="false">Calculations!B8+Calculations!B9+Calculations!B7+Inputs!B31</f>
        <v>77506.9115</v>
      </c>
    </row>
    <row r="15" customFormat="false" ht="7.5" hidden="false" customHeight="true" outlineLevel="0" collapsed="false">
      <c r="B15" s="47"/>
      <c r="C15" s="47"/>
      <c r="D15" s="47"/>
      <c r="E15" s="47"/>
      <c r="F15" s="47"/>
    </row>
    <row r="16" customFormat="false" ht="24" hidden="false" customHeight="true" outlineLevel="0" collapsed="false">
      <c r="B16" s="57" t="s">
        <v>128</v>
      </c>
      <c r="C16" s="57"/>
      <c r="D16" s="47"/>
      <c r="E16" s="58" t="s">
        <v>129</v>
      </c>
      <c r="F16" s="59" t="n">
        <f aca="false">F14-C14</f>
        <v>0</v>
      </c>
    </row>
    <row r="17" customFormat="false" ht="13.5" hidden="false" customHeight="true" outlineLevel="0" collapsed="false">
      <c r="D17" s="47"/>
      <c r="E17" s="60" t="s">
        <v>130</v>
      </c>
      <c r="F17" s="60"/>
    </row>
    <row r="18" customFormat="false" ht="7.5" hidden="false" customHeight="true" outlineLevel="0" collapsed="false"/>
    <row r="19" customFormat="false" ht="7.5" hidden="false" customHeight="true" outlineLevel="0" collapsed="false"/>
    <row r="20" customFormat="false" ht="19.5" hidden="false" customHeight="true" outlineLevel="0" collapsed="false">
      <c r="B20" s="61" t="s">
        <v>131</v>
      </c>
      <c r="C20" s="61"/>
      <c r="D20" s="61"/>
      <c r="E20" s="61"/>
      <c r="F20" s="61"/>
    </row>
    <row r="21" customFormat="false" ht="18" hidden="false" customHeight="true" outlineLevel="0" collapsed="false">
      <c r="B21" s="62" t="s">
        <v>132</v>
      </c>
      <c r="C21" s="62" t="s">
        <v>133</v>
      </c>
      <c r="D21" s="62" t="s">
        <v>134</v>
      </c>
      <c r="E21" s="62" t="s">
        <v>135</v>
      </c>
      <c r="F21" s="62" t="s">
        <v>136</v>
      </c>
    </row>
    <row r="22" customFormat="false" ht="18" hidden="false" customHeight="true" outlineLevel="0" collapsed="false">
      <c r="B22" s="63" t="n">
        <f aca="false">Inputs!B22</f>
        <v>89.05</v>
      </c>
      <c r="C22" s="64" t="n">
        <f aca="false">Inputs!B21</f>
        <v>0.3</v>
      </c>
      <c r="D22" s="64" t="n">
        <f aca="false">Inputs!B24</f>
        <v>0.6</v>
      </c>
      <c r="E22" s="64" t="n">
        <f aca="false">Inputs!B25</f>
        <v>0.4</v>
      </c>
      <c r="F22" s="65" t="n">
        <f aca="false">Calculations!B10</f>
        <v>14.9574461463415</v>
      </c>
    </row>
    <row r="23" customFormat="false" ht="9.75" hidden="false" customHeight="true" outlineLevel="0" collapsed="false"/>
    <row r="24" customFormat="false" ht="13.5" hidden="false" customHeight="true" outlineLevel="0" collapsed="false">
      <c r="A24" s="40"/>
      <c r="B24" s="66" t="s">
        <v>137</v>
      </c>
      <c r="C24" s="66"/>
      <c r="D24" s="66"/>
      <c r="E24" s="66"/>
      <c r="F24" s="66"/>
      <c r="G24" s="40"/>
    </row>
  </sheetData>
  <mergeCells count="10">
    <mergeCell ref="B3:F3"/>
    <mergeCell ref="B4:F4"/>
    <mergeCell ref="B5:C5"/>
    <mergeCell ref="E5:F5"/>
    <mergeCell ref="B7:C7"/>
    <mergeCell ref="E7:F7"/>
    <mergeCell ref="B16:C16"/>
    <mergeCell ref="E17:F17"/>
    <mergeCell ref="B20:F20"/>
    <mergeCell ref="B24:F24"/>
  </mergeCells>
  <conditionalFormatting sqref="F16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13" min="3" style="1" width="10"/>
    <col collapsed="false" customWidth="true" hidden="false" outlineLevel="0" max="14" min="14" style="1" width="3"/>
  </cols>
  <sheetData>
    <row r="1" customFormat="false" ht="30" hidden="false" customHeight="true" outlineLevel="0" collapsed="false">
      <c r="B1" s="2" t="s">
        <v>138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3.5" hidden="false" customHeight="true" outlineLevel="0" collapsed="false">
      <c r="B2" s="3" t="s">
        <v>139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7.5" hidden="false" customHeight="true" outlineLevel="0" collapsed="false"/>
    <row r="4" customFormat="false" ht="21.75" hidden="false" customHeight="true" outlineLevel="0" collapsed="false">
      <c r="B4" s="67" t="s">
        <v>140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</row>
    <row r="5" customFormat="false" ht="13.5" hidden="false" customHeight="true" outlineLevel="0" collapsed="false">
      <c r="B5" s="3" t="s">
        <v>141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9.5" hidden="false" customHeight="true" outlineLevel="0" collapsed="false">
      <c r="B6" s="68" t="s">
        <v>142</v>
      </c>
      <c r="C6" s="69" t="n">
        <v>0</v>
      </c>
      <c r="D6" s="69" t="n">
        <v>0.1</v>
      </c>
      <c r="E6" s="69" t="n">
        <v>0.2</v>
      </c>
      <c r="F6" s="69" t="n">
        <v>0.3</v>
      </c>
      <c r="G6" s="69" t="n">
        <v>0.4</v>
      </c>
      <c r="H6" s="69" t="n">
        <v>0.5</v>
      </c>
      <c r="I6" s="69" t="n">
        <v>0.6</v>
      </c>
      <c r="J6" s="69" t="n">
        <v>0.7</v>
      </c>
      <c r="K6" s="69" t="n">
        <v>0.8</v>
      </c>
      <c r="L6" s="69" t="n">
        <v>0.9</v>
      </c>
      <c r="M6" s="69" t="n">
        <v>1</v>
      </c>
    </row>
    <row r="7" customFormat="false" ht="18" hidden="false" customHeight="true" outlineLevel="0" collapsed="false">
      <c r="B7" s="70" t="n">
        <v>0.15</v>
      </c>
      <c r="C7" s="71" t="n">
        <f aca="false">(((Inputs!B6+Inputs!B14+(Inputs!B34*Inputs!B35*(1-Inputs!B30))-(((Inputs!B16*(1+0.15)*Inputs!B15)*0*Inputs!B26*Inputs!B28+(Inputs!B16*(1+0.15)*Inputs!B15)*0*Inputs!B27*Inputs!B29)*(1-Inputs!B30)))/((Inputs!B7+((Inputs!B16*(1+0.15)*Inputs!B15)*(1-0)/Inputs!B8))*100))-(Inputs!B6/(Inputs!B7*100)))/(Inputs!B6/(Inputs!B7*100))</f>
        <v>-0.0589197934778172</v>
      </c>
      <c r="D7" s="71" t="n">
        <f aca="false">(((Inputs!B6+Inputs!B14+(Inputs!B34*Inputs!B35*(1-Inputs!B30))-(((Inputs!B16*(1+0.15)*Inputs!B15)*0.1*Inputs!B26*Inputs!B28+(Inputs!B16*(1+0.15)*Inputs!B15)*0.1*Inputs!B27*Inputs!B29)*(1-Inputs!B30)))/((Inputs!B7+((Inputs!B16*(1+0.15)*Inputs!B15)*(1-0.1)/Inputs!B8))*100))-(Inputs!B6/(Inputs!B7*100)))/(Inputs!B6/(Inputs!B7*100))</f>
        <v>-0.0617795045114893</v>
      </c>
      <c r="E7" s="71" t="n">
        <f aca="false">(((Inputs!B6+Inputs!B14+(Inputs!B34*Inputs!B35*(1-Inputs!B30))-(((Inputs!B16*(1+0.15)*Inputs!B15)*0.2*Inputs!B26*Inputs!B28+(Inputs!B16*(1+0.15)*Inputs!B15)*0.2*Inputs!B27*Inputs!B29)*(1-Inputs!B30)))/((Inputs!B7+((Inputs!B16*(1+0.15)*Inputs!B15)*(1-0.2)/Inputs!B8))*100))-(Inputs!B6/(Inputs!B7*100)))/(Inputs!B6/(Inputs!B7*100))</f>
        <v>-0.0647231805333241</v>
      </c>
      <c r="F7" s="71" t="n">
        <f aca="false">(((Inputs!B6+Inputs!B14+(Inputs!B34*Inputs!B35*(1-Inputs!B30))-(((Inputs!B16*(1+0.15)*Inputs!B15)*0.3*Inputs!B26*Inputs!B28+(Inputs!B16*(1+0.15)*Inputs!B15)*0.3*Inputs!B27*Inputs!B29)*(1-Inputs!B30)))/((Inputs!B7+((Inputs!B16*(1+0.15)*Inputs!B15)*(1-0.3)/Inputs!B8))*100))-(Inputs!B6/(Inputs!B7*100)))/(Inputs!B6/(Inputs!B7*100))</f>
        <v>-0.0677545746297904</v>
      </c>
      <c r="G7" s="71" t="n">
        <f aca="false">(((Inputs!B6+Inputs!B14+(Inputs!B34*Inputs!B35*(1-Inputs!B30))-(((Inputs!B16*(1+0.15)*Inputs!B15)*0.4*Inputs!B26*Inputs!B28+(Inputs!B16*(1+0.15)*Inputs!B15)*0.4*Inputs!B27*Inputs!B29)*(1-Inputs!B30)))/((Inputs!B7+((Inputs!B16*(1+0.15)*Inputs!B15)*(1-0.4)/Inputs!B8))*100))-(Inputs!B6/(Inputs!B7*100)))/(Inputs!B6/(Inputs!B7*100))</f>
        <v>-0.0708776669454932</v>
      </c>
      <c r="H7" s="71" t="n">
        <f aca="false">(((Inputs!B6+Inputs!B14+(Inputs!B34*Inputs!B35*(1-Inputs!B30))-(((Inputs!B16*(1+0.15)*Inputs!B15)*0.5*Inputs!B26*Inputs!B28+(Inputs!B16*(1+0.15)*Inputs!B15)*0.5*Inputs!B27*Inputs!B29)*(1-Inputs!B30)))/((Inputs!B7+((Inputs!B16*(1+0.15)*Inputs!B15)*(1-0.5)/Inputs!B8))*100))-(Inputs!B6/(Inputs!B7*100)))/(Inputs!B6/(Inputs!B7*100))</f>
        <v>-0.0740966821178681</v>
      </c>
      <c r="I7" s="71" t="n">
        <f aca="false">(((Inputs!B6+Inputs!B14+(Inputs!B34*Inputs!B35*(1-Inputs!B30))-(((Inputs!B16*(1+0.15)*Inputs!B15)*0.6*Inputs!B26*Inputs!B28+(Inputs!B16*(1+0.15)*Inputs!B15)*0.6*Inputs!B27*Inputs!B29)*(1-Inputs!B30)))/((Inputs!B7+((Inputs!B16*(1+0.15)*Inputs!B15)*(1-0.6)/Inputs!B8))*100))-(Inputs!B6/(Inputs!B7*100)))/(Inputs!B6/(Inputs!B7*100))</f>
        <v>-0.0774161083434028</v>
      </c>
      <c r="J7" s="71" t="n">
        <f aca="false">(((Inputs!B6+Inputs!B14+(Inputs!B34*Inputs!B35*(1-Inputs!B30))-(((Inputs!B16*(1+0.15)*Inputs!B15)*0.7*Inputs!B26*Inputs!B28+(Inputs!B16*(1+0.15)*Inputs!B15)*0.7*Inputs!B27*Inputs!B29)*(1-Inputs!B30)))/((Inputs!B7+((Inputs!B16*(1+0.15)*Inputs!B15)*(1-0.7)/Inputs!B8))*100))-(Inputs!B6/(Inputs!B7*100)))/(Inputs!B6/(Inputs!B7*100))</f>
        <v>-0.0808407182563305</v>
      </c>
      <c r="K7" s="71" t="n">
        <f aca="false">(((Inputs!B6+Inputs!B14+(Inputs!B34*Inputs!B35*(1-Inputs!B30))-(((Inputs!B16*(1+0.15)*Inputs!B15)*0.8*Inputs!B26*Inputs!B28+(Inputs!B16*(1+0.15)*Inputs!B15)*0.8*Inputs!B27*Inputs!B29)*(1-Inputs!B30)))/((Inputs!B7+((Inputs!B16*(1+0.15)*Inputs!B15)*(1-0.8)/Inputs!B8))*100))-(Inputs!B6/(Inputs!B7*100)))/(Inputs!B6/(Inputs!B7*100))</f>
        <v>-0.0843755918240453</v>
      </c>
      <c r="L7" s="71" t="n">
        <f aca="false">(((Inputs!B6+Inputs!B14+(Inputs!B34*Inputs!B35*(1-Inputs!B30))-(((Inputs!B16*(1+0.15)*Inputs!B15)*0.9*Inputs!B26*Inputs!B28+(Inputs!B16*(1+0.15)*Inputs!B15)*0.9*Inputs!B27*Inputs!B29)*(1-Inputs!B30)))/((Inputs!B7+((Inputs!B16*(1+0.15)*Inputs!B15)*(1-0.9)/Inputs!B8))*100))-(Inputs!B6/(Inputs!B7*100)))/(Inputs!B6/(Inputs!B7*100))</f>
        <v>-0.0880261414902215</v>
      </c>
      <c r="M7" s="71" t="n">
        <f aca="false">(((Inputs!B6+Inputs!B14+(Inputs!B34*Inputs!B35*(1-Inputs!B30))-(((Inputs!B16*(1+0.15)*Inputs!B15)*1*Inputs!B26*Inputs!B28+(Inputs!B16*(1+0.15)*Inputs!B15)*1*Inputs!B27*Inputs!B29)*(1-Inputs!B30)))/((Inputs!B7+((Inputs!B16*(1+0.15)*Inputs!B15)*(1-1)/Inputs!B8))*100))-(Inputs!B6/(Inputs!B7*100)))/(Inputs!B6/(Inputs!B7*100))</f>
        <v>-0.0917981398273642</v>
      </c>
    </row>
    <row r="8" customFormat="false" ht="18" hidden="false" customHeight="true" outlineLevel="0" collapsed="false">
      <c r="B8" s="70" t="n">
        <v>0.2</v>
      </c>
      <c r="C8" s="71" t="n">
        <f aca="false">(((Inputs!B6+Inputs!B14+(Inputs!B34*Inputs!B35*(1-Inputs!B30))-(((Inputs!B16*(1+0.2)*Inputs!B15)*0*Inputs!B26*Inputs!B28+(Inputs!B16*(1+0.2)*Inputs!B15)*0*Inputs!B27*Inputs!B29)*(1-Inputs!B30)))/((Inputs!B7+((Inputs!B16*(1+0.2)*Inputs!B15)*(1-0)/Inputs!B8))*100))-(Inputs!B6/(Inputs!B7*100)))/(Inputs!B6/(Inputs!B7*100))</f>
        <v>-0.0647193175253146</v>
      </c>
      <c r="D8" s="71" t="n">
        <f aca="false">(((Inputs!B6+Inputs!B14+(Inputs!B34*Inputs!B35*(1-Inputs!B30))-(((Inputs!B16*(1+0.2)*Inputs!B15)*0.1*Inputs!B26*Inputs!B28+(Inputs!B16*(1+0.2)*Inputs!B15)*0.1*Inputs!B27*Inputs!B29)*(1-Inputs!B30)))/((Inputs!B7+((Inputs!B16*(1+0.2)*Inputs!B15)*(1-0.1)/Inputs!B8))*100))-(Inputs!B6/(Inputs!B7*100)))/(Inputs!B6/(Inputs!B7*100))</f>
        <v>-0.0677736291604463</v>
      </c>
      <c r="E8" s="71" t="n">
        <f aca="false">(((Inputs!B6+Inputs!B14+(Inputs!B34*Inputs!B35*(1-Inputs!B30))-(((Inputs!B16*(1+0.2)*Inputs!B15)*0.2*Inputs!B26*Inputs!B28+(Inputs!B16*(1+0.2)*Inputs!B15)*0.2*Inputs!B27*Inputs!B29)*(1-Inputs!B30)))/((Inputs!B7+((Inputs!B16*(1+0.2)*Inputs!B15)*(1-0.2)/Inputs!B8))*100))-(Inputs!B6/(Inputs!B7*100)))/(Inputs!B6/(Inputs!B7*100))</f>
        <v>-0.0709210431850928</v>
      </c>
      <c r="F8" s="71" t="n">
        <f aca="false">(((Inputs!B6+Inputs!B14+(Inputs!B34*Inputs!B35*(1-Inputs!B30))-(((Inputs!B16*(1+0.2)*Inputs!B15)*0.3*Inputs!B26*Inputs!B28+(Inputs!B16*(1+0.2)*Inputs!B15)*0.3*Inputs!B27*Inputs!B29)*(1-Inputs!B30)))/((Inputs!B7+((Inputs!B16*(1+0.2)*Inputs!B15)*(1-0.3)/Inputs!B8))*100))-(Inputs!B6/(Inputs!B7*100)))/(Inputs!B6/(Inputs!B7*100))</f>
        <v>-0.0741658824443267</v>
      </c>
      <c r="G8" s="71" t="n">
        <f aca="false">(((Inputs!B6+Inputs!B14+(Inputs!B34*Inputs!B35*(1-Inputs!B30))-(((Inputs!B16*(1+0.2)*Inputs!B15)*0.4*Inputs!B26*Inputs!B28+(Inputs!B16*(1+0.2)*Inputs!B15)*0.4*Inputs!B27*Inputs!B29)*(1-Inputs!B30)))/((Inputs!B7+((Inputs!B16*(1+0.2)*Inputs!B15)*(1-0.4)/Inputs!B8))*100))-(Inputs!B6/(Inputs!B7*100)))/(Inputs!B6/(Inputs!B7*100))</f>
        <v>-0.0775127416094735</v>
      </c>
      <c r="H8" s="71" t="n">
        <f aca="false">(((Inputs!B6+Inputs!B14+(Inputs!B34*Inputs!B35*(1-Inputs!B30))-(((Inputs!B16*(1+0.2)*Inputs!B15)*0.5*Inputs!B26*Inputs!B28+(Inputs!B16*(1+0.2)*Inputs!B15)*0.5*Inputs!B27*Inputs!B29)*(1-Inputs!B30)))/((Inputs!B7+((Inputs!B16*(1+0.2)*Inputs!B15)*(1-0.5)/Inputs!B8))*100))-(Inputs!B6/(Inputs!B7*100)))/(Inputs!B6/(Inputs!B7*100))</f>
        <v>-0.0809665088853509</v>
      </c>
      <c r="I8" s="71" t="n">
        <f aca="false">(((Inputs!B6+Inputs!B14+(Inputs!B34*Inputs!B35*(1-Inputs!B30))-(((Inputs!B16*(1+0.2)*Inputs!B15)*0.6*Inputs!B26*Inputs!B28+(Inputs!B16*(1+0.2)*Inputs!B15)*0.6*Inputs!B27*Inputs!B29)*(1-Inputs!B30)))/((Inputs!B7+((Inputs!B16*(1+0.2)*Inputs!B15)*(1-0.6)/Inputs!B8))*100))-(Inputs!B6/(Inputs!B7*100)))/(Inputs!B6/(Inputs!B7*100))</f>
        <v>-0.0845323898314455</v>
      </c>
      <c r="J8" s="71" t="n">
        <f aca="false">(((Inputs!B6+Inputs!B14+(Inputs!B34*Inputs!B35*(1-Inputs!B30))-(((Inputs!B16*(1+0.2)*Inputs!B15)*0.7*Inputs!B26*Inputs!B28+(Inputs!B16*(1+0.2)*Inputs!B15)*0.7*Inputs!B27*Inputs!B29)*(1-Inputs!B30)))/((Inputs!B7+((Inputs!B16*(1+0.2)*Inputs!B15)*(1-0.7)/Inputs!B8))*100))-(Inputs!B6/(Inputs!B7*100)))/(Inputs!B6/(Inputs!B7*100))</f>
        <v>-0.0882159335411546</v>
      </c>
      <c r="K8" s="71" t="n">
        <f aca="false">(((Inputs!B6+Inputs!B14+(Inputs!B34*Inputs!B35*(1-Inputs!B30))-(((Inputs!B16*(1+0.2)*Inputs!B15)*0.8*Inputs!B26*Inputs!B28+(Inputs!B16*(1+0.2)*Inputs!B15)*0.8*Inputs!B27*Inputs!B29)*(1-Inputs!B30)))/((Inputs!B7+((Inputs!B16*(1+0.2)*Inputs!B15)*(1-0.8)/Inputs!B8))*100))-(Inputs!B6/(Inputs!B7*100)))/(Inputs!B6/(Inputs!B7*100))</f>
        <v>-0.0920230614560008</v>
      </c>
      <c r="L8" s="71" t="n">
        <f aca="false">(((Inputs!B6+Inputs!B14+(Inputs!B34*Inputs!B35*(1-Inputs!B30))-(((Inputs!B16*(1+0.2)*Inputs!B15)*0.9*Inputs!B26*Inputs!B28+(Inputs!B16*(1+0.2)*Inputs!B15)*0.9*Inputs!B27*Inputs!B29)*(1-Inputs!B30)))/((Inputs!B7+((Inputs!B16*(1+0.2)*Inputs!B15)*(1-0.9)/Inputs!B8))*100))-(Inputs!B6/(Inputs!B7*100)))/(Inputs!B6/(Inputs!B7*100))</f>
        <v>-0.0959600991295077</v>
      </c>
      <c r="M8" s="71" t="n">
        <f aca="false">(((Inputs!B6+Inputs!B14+(Inputs!B34*Inputs!B35*(1-Inputs!B30))-(((Inputs!B16*(1+0.2)*Inputs!B15)*1*Inputs!B26*Inputs!B28+(Inputs!B16*(1+0.2)*Inputs!B15)*1*Inputs!B27*Inputs!B29)*(1-Inputs!B30)))/((Inputs!B7+((Inputs!B16*(1+0.2)*Inputs!B15)*(1-1)/Inputs!B8))*100))-(Inputs!B6/(Inputs!B7*100)))/(Inputs!B6/(Inputs!B7*100))</f>
        <v>-0.100033811299129</v>
      </c>
    </row>
    <row r="9" customFormat="false" ht="18" hidden="false" customHeight="true" outlineLevel="0" collapsed="false">
      <c r="B9" s="70" t="n">
        <v>0.25</v>
      </c>
      <c r="C9" s="71" t="n">
        <f aca="false">(((Inputs!B6+Inputs!B14+(Inputs!B34*Inputs!B35*(1-Inputs!B30))-(((Inputs!B16*(1+0.25)*Inputs!B15)*0*Inputs!B26*Inputs!B28+(Inputs!B16*(1+0.25)*Inputs!B15)*0*Inputs!B27*Inputs!B29)*(1-Inputs!B30)))/((Inputs!B7+((Inputs!B16*(1+0.25)*Inputs!B15)*(1-0)/Inputs!B8))*100))-(Inputs!B6/(Inputs!B7*100)))/(Inputs!B6/(Inputs!B7*100))</f>
        <v>-0.0704477988034047</v>
      </c>
      <c r="D9" s="71" t="n">
        <f aca="false">(((Inputs!B6+Inputs!B14+(Inputs!B34*Inputs!B35*(1-Inputs!B30))-(((Inputs!B16*(1+0.25)*Inputs!B15)*0.1*Inputs!B26*Inputs!B28+(Inputs!B16*(1+0.25)*Inputs!B15)*0.1*Inputs!B27*Inputs!B29)*(1-Inputs!B30)))/((Inputs!B7+((Inputs!B16*(1+0.25)*Inputs!B15)*(1-0.1)/Inputs!B8))*100))-(Inputs!B6/(Inputs!B7*100)))/(Inputs!B6/(Inputs!B7*100))</f>
        <v>-0.073700642262278</v>
      </c>
      <c r="E9" s="71" t="n">
        <f aca="false">(((Inputs!B6+Inputs!B14+(Inputs!B34*Inputs!B35*(1-Inputs!B30))-(((Inputs!B16*(1+0.25)*Inputs!B15)*0.2*Inputs!B26*Inputs!B28+(Inputs!B16*(1+0.25)*Inputs!B15)*0.2*Inputs!B27*Inputs!B29)*(1-Inputs!B30)))/((Inputs!B7+((Inputs!B16*(1+0.25)*Inputs!B15)*(1-0.2)/Inputs!B8))*100))-(Inputs!B6/(Inputs!B7*100)))/(Inputs!B6/(Inputs!B7*100))</f>
        <v>-0.0770562491569462</v>
      </c>
      <c r="F9" s="71" t="n">
        <f aca="false">(((Inputs!B6+Inputs!B14+(Inputs!B34*Inputs!B35*(1-Inputs!B30))-(((Inputs!B16*(1+0.25)*Inputs!B15)*0.3*Inputs!B26*Inputs!B28+(Inputs!B16*(1+0.25)*Inputs!B15)*0.3*Inputs!B27*Inputs!B29)*(1-Inputs!B30)))/((Inputs!B7+((Inputs!B16*(1+0.25)*Inputs!B15)*(1-0.3)/Inputs!B8))*100))-(Inputs!B6/(Inputs!B7*100)))/(Inputs!B6/(Inputs!B7*100))</f>
        <v>-0.0805195673789931</v>
      </c>
      <c r="G9" s="71" t="n">
        <f aca="false">(((Inputs!B6+Inputs!B14+(Inputs!B34*Inputs!B35*(1-Inputs!B30))-(((Inputs!B16*(1+0.25)*Inputs!B15)*0.4*Inputs!B26*Inputs!B28+(Inputs!B16*(1+0.25)*Inputs!B15)*0.4*Inputs!B27*Inputs!B29)*(1-Inputs!B30)))/((Inputs!B7+((Inputs!B16*(1+0.25)*Inputs!B15)*(1-0.4)/Inputs!B8))*100))-(Inputs!B6/(Inputs!B7*100)))/(Inputs!B6/(Inputs!B7*100))</f>
        <v>-0.084095867645033</v>
      </c>
      <c r="H9" s="71" t="n">
        <f aca="false">(((Inputs!B6+Inputs!B14+(Inputs!B34*Inputs!B35*(1-Inputs!B30))-(((Inputs!B16*(1+0.25)*Inputs!B15)*0.5*Inputs!B26*Inputs!B28+(Inputs!B16*(1+0.25)*Inputs!B15)*0.5*Inputs!B27*Inputs!B29)*(1-Inputs!B30)))/((Inputs!B7+((Inputs!B16*(1+0.25)*Inputs!B15)*(1-0.5)/Inputs!B8))*100))-(Inputs!B6/(Inputs!B7*100)))/(Inputs!B6/(Inputs!B7*100))</f>
        <v>-0.0877907702616655</v>
      </c>
      <c r="I9" s="71" t="n">
        <f aca="false">(((Inputs!B6+Inputs!B14+(Inputs!B34*Inputs!B35*(1-Inputs!B30))-(((Inputs!B16*(1+0.25)*Inputs!B15)*0.6*Inputs!B26*Inputs!B28+(Inputs!B16*(1+0.25)*Inputs!B15)*0.6*Inputs!B27*Inputs!B29)*(1-Inputs!B30)))/((Inputs!B7+((Inputs!B16*(1+0.25)*Inputs!B15)*(1-0.6)/Inputs!B8))*100))-(Inputs!B6/(Inputs!B7*100)))/(Inputs!B6/(Inputs!B7*100))</f>
        <v>-0.0916102745981844</v>
      </c>
      <c r="J9" s="71" t="n">
        <f aca="false">(((Inputs!B6+Inputs!B14+(Inputs!B34*Inputs!B35*(1-Inputs!B30))-(((Inputs!B16*(1+0.25)*Inputs!B15)*0.7*Inputs!B26*Inputs!B28+(Inputs!B16*(1+0.25)*Inputs!B15)*0.7*Inputs!B27*Inputs!B29)*(1-Inputs!B30)))/((Inputs!B7+((Inputs!B16*(1+0.25)*Inputs!B15)*(1-0.7)/Inputs!B8))*100))-(Inputs!B6/(Inputs!B7*100)))/(Inputs!B6/(Inputs!B7*100))</f>
        <v>-0.0955607915921092</v>
      </c>
      <c r="K9" s="71" t="n">
        <f aca="false">(((Inputs!B6+Inputs!B14+(Inputs!B34*Inputs!B35*(1-Inputs!B30))-(((Inputs!B16*(1+0.25)*Inputs!B15)*0.8*Inputs!B26*Inputs!B28+(Inputs!B16*(1+0.25)*Inputs!B15)*0.8*Inputs!B27*Inputs!B29)*(1-Inputs!B30)))/((Inputs!B7+((Inputs!B16*(1+0.25)*Inputs!B15)*(1-0.8)/Inputs!B8))*100))-(Inputs!B6/(Inputs!B7*100)))/(Inputs!B6/(Inputs!B7*100))</f>
        <v>-0.0996491796580018</v>
      </c>
      <c r="L9" s="71" t="n">
        <f aca="false">(((Inputs!B6+Inputs!B14+(Inputs!B34*Inputs!B35*(1-Inputs!B30))-(((Inputs!B16*(1+0.25)*Inputs!B15)*0.9*Inputs!B26*Inputs!B28+(Inputs!B16*(1+0.25)*Inputs!B15)*0.9*Inputs!B27*Inputs!B29)*(1-Inputs!B30)))/((Inputs!B7+((Inputs!B16*(1+0.25)*Inputs!B15)*(1-0.9)/Inputs!B8))*100))-(Inputs!B6/(Inputs!B7*100)))/(Inputs!B6/(Inputs!B7*100))</f>
        <v>-0.103882784422648</v>
      </c>
      <c r="M9" s="71" t="n">
        <f aca="false">(((Inputs!B6+Inputs!B14+(Inputs!B34*Inputs!B35*(1-Inputs!B30))-(((Inputs!B16*(1+0.25)*Inputs!B15)*1*Inputs!B26*Inputs!B28+(Inputs!B16*(1+0.25)*Inputs!B15)*1*Inputs!B27*Inputs!B29)*(1-Inputs!B30)))/((Inputs!B7+((Inputs!B16*(1+0.25)*Inputs!B15)*(1-1)/Inputs!B8))*100))-(Inputs!B6/(Inputs!B7*100)))/(Inputs!B6/(Inputs!B7*100))</f>
        <v>-0.108269482770894</v>
      </c>
    </row>
    <row r="10" customFormat="false" ht="18" hidden="false" customHeight="true" outlineLevel="0" collapsed="false">
      <c r="B10" s="70" t="n">
        <v>0.3</v>
      </c>
      <c r="C10" s="71" t="n">
        <f aca="false">(((Inputs!B6+Inputs!B14+(Inputs!B34*Inputs!B35*(1-Inputs!B30))-(((Inputs!B16*(1+0.3)*Inputs!B15)*0*Inputs!B26*Inputs!B28+(Inputs!B16*(1+0.3)*Inputs!B15)*0*Inputs!B27*Inputs!B29)*(1-Inputs!B30)))/((Inputs!B7+((Inputs!B16*(1+0.3)*Inputs!B15)*(1-0)/Inputs!B8))*100))-(Inputs!B6/(Inputs!B7*100)))/(Inputs!B6/(Inputs!B7*100))</f>
        <v>-0.076106534750594</v>
      </c>
      <c r="D10" s="71" t="n">
        <f aca="false">(((Inputs!B6+Inputs!B14+(Inputs!B34*Inputs!B35*(1-Inputs!B30))-(((Inputs!B16*(1+0.3)*Inputs!B15)*0.1*Inputs!B26*Inputs!B28+(Inputs!B16*(1+0.3)*Inputs!B15)*0.1*Inputs!B27*Inputs!B29)*(1-Inputs!B30)))/((Inputs!B7+((Inputs!B16*(1+0.3)*Inputs!B15)*(1-0.1)/Inputs!B8))*100))-(Inputs!B6/(Inputs!B7*100)))/(Inputs!B6/(Inputs!B7*100))</f>
        <v>-0.0795616646361324</v>
      </c>
      <c r="E10" s="71" t="n">
        <f aca="false">(((Inputs!B6+Inputs!B14+(Inputs!B34*Inputs!B35*(1-Inputs!B30))-(((Inputs!B16*(1+0.3)*Inputs!B15)*0.2*Inputs!B26*Inputs!B28+(Inputs!B16*(1+0.3)*Inputs!B15)*0.2*Inputs!B27*Inputs!B29)*(1-Inputs!B30)))/((Inputs!B7+((Inputs!B16*(1+0.3)*Inputs!B15)*(1-0.2)/Inputs!B8))*100))-(Inputs!B6/(Inputs!B7*100)))/(Inputs!B6/(Inputs!B7*100))</f>
        <v>-0.0831297438026731</v>
      </c>
      <c r="F10" s="71" t="n">
        <f aca="false">(((Inputs!B6+Inputs!B14+(Inputs!B34*Inputs!B35*(1-Inputs!B30))-(((Inputs!B16*(1+0.3)*Inputs!B15)*0.3*Inputs!B26*Inputs!B28+(Inputs!B16*(1+0.3)*Inputs!B15)*0.3*Inputs!B27*Inputs!B29)*(1-Inputs!B30)))/((Inputs!B7+((Inputs!B16*(1+0.3)*Inputs!B15)*(1-0.3)/Inputs!B8))*100))-(Inputs!B6/(Inputs!B7*100)))/(Inputs!B6/(Inputs!B7*100))</f>
        <v>-0.086816402803696</v>
      </c>
      <c r="G10" s="71" t="n">
        <f aca="false">(((Inputs!B6+Inputs!B14+(Inputs!B34*Inputs!B35*(1-Inputs!B30))-(((Inputs!B16*(1+0.3)*Inputs!B15)*0.4*Inputs!B26*Inputs!B28+(Inputs!B16*(1+0.3)*Inputs!B15)*0.4*Inputs!B27*Inputs!B29)*(1-Inputs!B30)))/((Inputs!B7+((Inputs!B16*(1+0.3)*Inputs!B15)*(1-0.4)/Inputs!B8))*100))-(Inputs!B6/(Inputs!B7*100)))/(Inputs!B6/(Inputs!B7*100))</f>
        <v>-0.0906276527627599</v>
      </c>
      <c r="H10" s="71" t="n">
        <f aca="false">(((Inputs!B6+Inputs!B14+(Inputs!B34*Inputs!B35*(1-Inputs!B30))-(((Inputs!B16*(1+0.3)*Inputs!B15)*0.5*Inputs!B26*Inputs!B28+(Inputs!B16*(1+0.3)*Inputs!B15)*0.5*Inputs!B27*Inputs!B29)*(1-Inputs!B30)))/((Inputs!B7+((Inputs!B16*(1+0.3)*Inputs!B15)*(1-0.5)/Inputs!B8))*100))-(Inputs!B6/(Inputs!B7*100)))/(Inputs!B6/(Inputs!B7*100))</f>
        <v>-0.0945699180796519</v>
      </c>
      <c r="I10" s="72" t="n">
        <f aca="false">(((Inputs!B6+Inputs!B14+(Inputs!B34*Inputs!B35*(1-Inputs!B30))-(((Inputs!B16*(1+0.3)*Inputs!B15)*0.6*Inputs!B26*Inputs!B28+(Inputs!B16*(1+0.3)*Inputs!B15)*0.6*Inputs!B27*Inputs!B29)*(1-Inputs!B30)))/((Inputs!B7+((Inputs!B16*(1+0.3)*Inputs!B15)*(1-0.6)/Inputs!B8))*100))-(Inputs!B6/(Inputs!B7*100)))/(Inputs!B6/(Inputs!B7*100))</f>
        <v>-0.0986500725684394</v>
      </c>
      <c r="J10" s="71" t="n">
        <f aca="false">(((Inputs!B6+Inputs!B14+(Inputs!B34*Inputs!B35*(1-Inputs!B30))-(((Inputs!B16*(1+0.3)*Inputs!B15)*0.7*Inputs!B26*Inputs!B28+(Inputs!B16*(1+0.3)*Inputs!B15)*0.7*Inputs!B27*Inputs!B29)*(1-Inputs!B30)))/((Inputs!B7+((Inputs!B16*(1+0.3)*Inputs!B15)*(1-0.7)/Inputs!B8))*100))-(Inputs!B6/(Inputs!B7*100)))/(Inputs!B6/(Inputs!B7*100))</f>
        <v>-0.10287547945504</v>
      </c>
      <c r="K10" s="71" t="n">
        <f aca="false">(((Inputs!B6+Inputs!B14+(Inputs!B34*Inputs!B35*(1-Inputs!B30))-(((Inputs!B16*(1+0.3)*Inputs!B15)*0.8*Inputs!B26*Inputs!B28+(Inputs!B16*(1+0.3)*Inputs!B15)*0.8*Inputs!B27*Inputs!B29)*(1-Inputs!B30)))/((Inputs!B7+((Inputs!B16*(1+0.3)*Inputs!B15)*(1-0.8)/Inputs!B8))*100))-(Inputs!B6/(Inputs!B7*100)))/(Inputs!B6/(Inputs!B7*100))</f>
        <v>-0.107254035723906</v>
      </c>
      <c r="L10" s="71" t="n">
        <f aca="false">(((Inputs!B6+Inputs!B14+(Inputs!B34*Inputs!B35*(1-Inputs!B30))-(((Inputs!B16*(1+0.3)*Inputs!B15)*0.9*Inputs!B26*Inputs!B28+(Inputs!B16*(1+0.3)*Inputs!B15)*0.9*Inputs!B27*Inputs!B29)*(1-Inputs!B30)))/((Inputs!B7+((Inputs!B16*(1+0.3)*Inputs!B15)*(1-0.9)/Inputs!B8))*100))-(Inputs!B6/(Inputs!B7*100)))/(Inputs!B6/(Inputs!B7*100))</f>
        <v>-0.111794221375742</v>
      </c>
      <c r="M10" s="71" t="n">
        <f aca="false">(((Inputs!B6+Inputs!B14+(Inputs!B34*Inputs!B35*(1-Inputs!B30))-(((Inputs!B16*(1+0.3)*Inputs!B15)*1*Inputs!B26*Inputs!B28+(Inputs!B16*(1+0.3)*Inputs!B15)*1*Inputs!B27*Inputs!B29)*(1-Inputs!B30)))/((Inputs!B7+((Inputs!B16*(1+0.3)*Inputs!B15)*(1-1)/Inputs!B8))*100))-(Inputs!B6/(Inputs!B7*100)))/(Inputs!B6/(Inputs!B7*100))</f>
        <v>-0.116505154242659</v>
      </c>
    </row>
    <row r="11" customFormat="false" ht="18" hidden="false" customHeight="true" outlineLevel="0" collapsed="false">
      <c r="B11" s="70" t="n">
        <v>0.35</v>
      </c>
      <c r="C11" s="71" t="n">
        <f aca="false">(((Inputs!B6+Inputs!B14+(Inputs!B34*Inputs!B35*(1-Inputs!B30))-(((Inputs!B16*(1+0.35)*Inputs!B15)*0*Inputs!B26*Inputs!B28+(Inputs!B16*(1+0.35)*Inputs!B15)*0*Inputs!B27*Inputs!B29)*(1-Inputs!B30)))/((Inputs!B7+((Inputs!B16*(1+0.35)*Inputs!B15)*(1-0)/Inputs!B8))*100))-(Inputs!B6/(Inputs!B7*100)))/(Inputs!B6/(Inputs!B7*100))</f>
        <v>-0.0816967914034374</v>
      </c>
      <c r="D11" s="71" t="n">
        <f aca="false">(((Inputs!B6+Inputs!B14+(Inputs!B34*Inputs!B35*(1-Inputs!B30))-(((Inputs!B16*(1+0.35)*Inputs!B15)*0.1*Inputs!B26*Inputs!B28+(Inputs!B16*(1+0.35)*Inputs!B15)*0.1*Inputs!B27*Inputs!B29)*(1-Inputs!B30)))/((Inputs!B7+((Inputs!B16*(1+0.35)*Inputs!B15)*(1-0.1)/Inputs!B8))*100))-(Inputs!B6/(Inputs!B7*100)))/(Inputs!B6/(Inputs!B7*100))</f>
        <v>-0.0853577922811692</v>
      </c>
      <c r="E11" s="71" t="n">
        <f aca="false">(((Inputs!B6+Inputs!B14+(Inputs!B34*Inputs!B35*(1-Inputs!B30))-(((Inputs!B16*(1+0.35)*Inputs!B15)*0.2*Inputs!B26*Inputs!B28+(Inputs!B16*(1+0.35)*Inputs!B15)*0.2*Inputs!B27*Inputs!B29)*(1-Inputs!B30)))/((Inputs!B7+((Inputs!B16*(1+0.35)*Inputs!B15)*(1-0.2)/Inputs!B8))*100))-(Inputs!B6/(Inputs!B7*100)))/(Inputs!B6/(Inputs!B7*100))</f>
        <v>-0.0891424535534377</v>
      </c>
      <c r="F11" s="71" t="n">
        <f aca="false">(((Inputs!B6+Inputs!B14+(Inputs!B34*Inputs!B35*(1-Inputs!B30))-(((Inputs!B16*(1+0.35)*Inputs!B15)*0.3*Inputs!B26*Inputs!B28+(Inputs!B16*(1+0.35)*Inputs!B15)*0.3*Inputs!B27*Inputs!B29)*(1-Inputs!B30)))/((Inputs!B7+((Inputs!B16*(1+0.35)*Inputs!B15)*(1-0.3)/Inputs!B8))*100))-(Inputs!B6/(Inputs!B7*100)))/(Inputs!B6/(Inputs!B7*100))</f>
        <v>-0.0930571483105468</v>
      </c>
      <c r="G11" s="71" t="n">
        <f aca="false">(((Inputs!B6+Inputs!B14+(Inputs!B34*Inputs!B35*(1-Inputs!B30))-(((Inputs!B16*(1+0.35)*Inputs!B15)*0.4*Inputs!B26*Inputs!B28+(Inputs!B16*(1+0.35)*Inputs!B15)*0.4*Inputs!B27*Inputs!B29)*(1-Inputs!B30)))/((Inputs!B7+((Inputs!B16*(1+0.35)*Inputs!B15)*(1-0.4)/Inputs!B8))*100))-(Inputs!B6/(Inputs!B7*100)))/(Inputs!B6/(Inputs!B7*100))</f>
        <v>-0.0971086952311545</v>
      </c>
      <c r="H11" s="71" t="n">
        <f aca="false">(((Inputs!B6+Inputs!B14+(Inputs!B34*Inputs!B35*(1-Inputs!B30))-(((Inputs!B16*(1+0.35)*Inputs!B15)*0.5*Inputs!B26*Inputs!B28+(Inputs!B16*(1+0.35)*Inputs!B15)*0.5*Inputs!B27*Inputs!B29)*(1-Inputs!B30)))/((Inputs!B7+((Inputs!B16*(1+0.35)*Inputs!B15)*(1-0.5)/Inputs!B8))*100))-(Inputs!B6/(Inputs!B7*100)))/(Inputs!B6/(Inputs!B7*100))</f>
        <v>-0.101304398217913</v>
      </c>
      <c r="I11" s="71" t="n">
        <f aca="false">(((Inputs!B6+Inputs!B14+(Inputs!B34*Inputs!B35*(1-Inputs!B30))-(((Inputs!B16*(1+0.35)*Inputs!B15)*0.6*Inputs!B26*Inputs!B28+(Inputs!B16*(1+0.35)*Inputs!B15)*0.6*Inputs!B27*Inputs!B29)*(1-Inputs!B30)))/((Inputs!B7+((Inputs!B16*(1+0.35)*Inputs!B15)*(1-0.6)/Inputs!B8))*100))-(Inputs!B6/(Inputs!B7*100)))/(Inputs!B6/(Inputs!B7*100))</f>
        <v>-0.105652090340509</v>
      </c>
      <c r="J11" s="71" t="n">
        <f aca="false">(((Inputs!B6+Inputs!B14+(Inputs!B34*Inputs!B35*(1-Inputs!B30))-(((Inputs!B16*(1+0.35)*Inputs!B15)*0.7*Inputs!B26*Inputs!B28+(Inputs!B16*(1+0.35)*Inputs!B15)*0.7*Inputs!B27*Inputs!B29)*(1-Inputs!B30)))/((Inputs!B7+((Inputs!B16*(1+0.35)*Inputs!B15)*(1-0.7)/Inputs!B8))*100))-(Inputs!B6/(Inputs!B7*100)))/(Inputs!B6/(Inputs!B7*100))</f>
        <v>-0.110160182642298</v>
      </c>
      <c r="K11" s="71" t="n">
        <f aca="false">(((Inputs!B6+Inputs!B14+(Inputs!B34*Inputs!B35*(1-Inputs!B30))-(((Inputs!B16*(1+0.35)*Inputs!B15)*0.8*Inputs!B26*Inputs!B28+(Inputs!B16*(1+0.35)*Inputs!B15)*0.8*Inputs!B27*Inputs!B29)*(1-Inputs!B30)))/((Inputs!B7+((Inputs!B16*(1+0.35)*Inputs!B15)*(1-0.8)/Inputs!B8))*100))-(Inputs!B6/(Inputs!B7*100)))/(Inputs!B6/(Inputs!B7*100))</f>
        <v>-0.11483771845035</v>
      </c>
      <c r="L11" s="71" t="n">
        <f aca="false">(((Inputs!B6+Inputs!B14+(Inputs!B34*Inputs!B35*(1-Inputs!B30))-(((Inputs!B16*(1+0.35)*Inputs!B15)*0.9*Inputs!B26*Inputs!B28+(Inputs!B16*(1+0.35)*Inputs!B15)*0.9*Inputs!B27*Inputs!B29)*(1-Inputs!B30)))/((Inputs!B7+((Inputs!B16*(1+0.35)*Inputs!B15)*(1-0.9)/Inputs!B8))*100))-(Inputs!B6/(Inputs!B7*100)))/(Inputs!B6/(Inputs!B7*100))</f>
        <v>-0.119694433926773</v>
      </c>
      <c r="M11" s="71" t="n">
        <f aca="false">(((Inputs!B6+Inputs!B14+(Inputs!B34*Inputs!B35*(1-Inputs!B30))-(((Inputs!B16*(1+0.35)*Inputs!B15)*1*Inputs!B26*Inputs!B28+(Inputs!B16*(1+0.35)*Inputs!B15)*1*Inputs!B27*Inputs!B29)*(1-Inputs!B30)))/((Inputs!B7+((Inputs!B16*(1+0.35)*Inputs!B15)*(1-1)/Inputs!B8))*100))-(Inputs!B6/(Inputs!B7*100)))/(Inputs!B6/(Inputs!B7*100))</f>
        <v>-0.124740825714424</v>
      </c>
    </row>
    <row r="12" customFormat="false" ht="18" hidden="false" customHeight="true" outlineLevel="0" collapsed="false">
      <c r="B12" s="70" t="n">
        <v>0.4</v>
      </c>
      <c r="C12" s="71" t="n">
        <f aca="false">(((Inputs!B6+Inputs!B14+(Inputs!B34*Inputs!B35*(1-Inputs!B30))-(((Inputs!B16*(1+0.4)*Inputs!B15)*0*Inputs!B26*Inputs!B28+(Inputs!B16*(1+0.4)*Inputs!B15)*0*Inputs!B27*Inputs!B29)*(1-Inputs!B30)))/((Inputs!B7+((Inputs!B16*(1+0.4)*Inputs!B15)*(1-0)/Inputs!B8))*100))-(Inputs!B6/(Inputs!B7*100)))/(Inputs!B6/(Inputs!B7*100))</f>
        <v>-0.087219804340854</v>
      </c>
      <c r="D12" s="71" t="n">
        <f aca="false">(((Inputs!B6+Inputs!B14+(Inputs!B34*Inputs!B35*(1-Inputs!B30))-(((Inputs!B16*(1+0.4)*Inputs!B15)*0.1*Inputs!B26*Inputs!B28+(Inputs!B16*(1+0.4)*Inputs!B15)*0.1*Inputs!B27*Inputs!B29)*(1-Inputs!B30)))/((Inputs!B7+((Inputs!B16*(1+0.4)*Inputs!B15)*(1-0.1)/Inputs!B8))*100))-(Inputs!B6/(Inputs!B7*100)))/(Inputs!B6/(Inputs!B7*100))</f>
        <v>-0.0910900970598091</v>
      </c>
      <c r="E12" s="71" t="n">
        <f aca="false">(((Inputs!B6+Inputs!B14+(Inputs!B34*Inputs!B35*(1-Inputs!B30))-(((Inputs!B16*(1+0.4)*Inputs!B15)*0.2*Inputs!B26*Inputs!B28+(Inputs!B16*(1+0.4)*Inputs!B15)*0.2*Inputs!B27*Inputs!B29)*(1-Inputs!B30)))/((Inputs!B7+((Inputs!B16*(1+0.4)*Inputs!B15)*(1-0.2)/Inputs!B8))*100))-(Inputs!B6/(Inputs!B7*100)))/(Inputs!B6/(Inputs!B7*100))</f>
        <v>-0.0950952863888764</v>
      </c>
      <c r="F12" s="71" t="n">
        <f aca="false">(((Inputs!B6+Inputs!B14+(Inputs!B34*Inputs!B35*(1-Inputs!B30))-(((Inputs!B16*(1+0.4)*Inputs!B15)*0.3*Inputs!B26*Inputs!B28+(Inputs!B16*(1+0.4)*Inputs!B15)*0.3*Inputs!B27*Inputs!B29)*(1-Inputs!B30)))/((Inputs!B7+((Inputs!B16*(1+0.4)*Inputs!B15)*(1-0.3)/Inputs!B8))*100))-(Inputs!B6/(Inputs!B7*100)))/(Inputs!B6/(Inputs!B7*100))</f>
        <v>-0.0992425500193206</v>
      </c>
      <c r="G12" s="71" t="n">
        <f aca="false">(((Inputs!B6+Inputs!B14+(Inputs!B34*Inputs!B35*(1-Inputs!B30))-(((Inputs!B16*(1+0.4)*Inputs!B15)*0.4*Inputs!B26*Inputs!B28+(Inputs!B16*(1+0.4)*Inputs!B15)*0.4*Inputs!B27*Inputs!B29)*(1-Inputs!B30)))/((Inputs!B7+((Inputs!B16*(1+0.4)*Inputs!B15)*(1-0.4)/Inputs!B8))*100))-(Inputs!B6/(Inputs!B7*100)))/(Inputs!B6/(Inputs!B7*100))</f>
        <v>-0.103539584059298</v>
      </c>
      <c r="H12" s="71" t="n">
        <f aca="false">(((Inputs!B6+Inputs!B14+(Inputs!B34*Inputs!B35*(1-Inputs!B30))-(((Inputs!B16*(1+0.4)*Inputs!B15)*0.5*Inputs!B26*Inputs!B28+(Inputs!B16*(1+0.4)*Inputs!B15)*0.5*Inputs!B27*Inputs!B29)*(1-Inputs!B30)))/((Inputs!B7+((Inputs!B16*(1+0.4)*Inputs!B15)*(1-0.5)/Inputs!B8))*100))-(Inputs!B6/(Inputs!B7*100)))/(Inputs!B6/(Inputs!B7*100))</f>
        <v>-0.107994650698575</v>
      </c>
      <c r="I12" s="71" t="n">
        <f aca="false">(((Inputs!B6+Inputs!B14+(Inputs!B34*Inputs!B35*(1-Inputs!B30))-(((Inputs!B16*(1+0.4)*Inputs!B15)*0.6*Inputs!B26*Inputs!B28+(Inputs!B16*(1+0.4)*Inputs!B15)*0.6*Inputs!B27*Inputs!B29)*(1-Inputs!B30)))/((Inputs!B7+((Inputs!B16*(1+0.4)*Inputs!B15)*(1-0.6)/Inputs!B8))*100))-(Inputs!B6/(Inputs!B7*100)))/(Inputs!B6/(Inputs!B7*100))</f>
        <v>-0.112616631230682</v>
      </c>
      <c r="J12" s="71" t="n">
        <f aca="false">(((Inputs!B6+Inputs!B14+(Inputs!B34*Inputs!B35*(1-Inputs!B30))-(((Inputs!B16*(1+0.4)*Inputs!B15)*0.7*Inputs!B26*Inputs!B28+(Inputs!B16*(1+0.4)*Inputs!B15)*0.7*Inputs!B27*Inputs!B29)*(1-Inputs!B30)))/((Inputs!B7+((Inputs!B16*(1+0.4)*Inputs!B15)*(1-0.7)/Inputs!B8))*100))-(Inputs!B6/(Inputs!B7*100)))/(Inputs!B6/(Inputs!B7*100))</f>
        <v>-0.117415085148428</v>
      </c>
      <c r="K12" s="71" t="n">
        <f aca="false">(((Inputs!B6+Inputs!B14+(Inputs!B34*Inputs!B35*(1-Inputs!B30))-(((Inputs!B16*(1+0.4)*Inputs!B15)*0.8*Inputs!B26*Inputs!B28+(Inputs!B16*(1+0.4)*Inputs!B15)*0.8*Inputs!B27*Inputs!B29)*(1-Inputs!B30)))/((Inputs!B7+((Inputs!B16*(1+0.4)*Inputs!B15)*(1-0.8)/Inputs!B8))*100))-(Inputs!B6/(Inputs!B7*100)))/(Inputs!B6/(Inputs!B7*100))</f>
        <v>-0.122400316140205</v>
      </c>
      <c r="L12" s="71" t="n">
        <f aca="false">(((Inputs!B6+Inputs!B14+(Inputs!B34*Inputs!B35*(1-Inputs!B30))-(((Inputs!B16*(1+0.4)*Inputs!B15)*0.9*Inputs!B26*Inputs!B28+(Inputs!B16*(1+0.4)*Inputs!B15)*0.9*Inputs!B27*Inputs!B29)*(1-Inputs!B30)))/((Inputs!B7+((Inputs!B16*(1+0.4)*Inputs!B15)*(1-0.9)/Inputs!B8))*100))-(Inputs!B6/(Inputs!B7*100)))/(Inputs!B6/(Inputs!B7*100))</f>
        <v>-0.127583445945846</v>
      </c>
      <c r="M12" s="71" t="n">
        <f aca="false">(((Inputs!B6+Inputs!B14+(Inputs!B34*Inputs!B35*(1-Inputs!B30))-(((Inputs!B16*(1+0.4)*Inputs!B15)*1*Inputs!B26*Inputs!B28+(Inputs!B16*(1+0.4)*Inputs!B15)*1*Inputs!B27*Inputs!B29)*(1-Inputs!B30)))/((Inputs!B7+((Inputs!B16*(1+0.4)*Inputs!B15)*(1-1)/Inputs!B8))*100))-(Inputs!B6/(Inputs!B7*100)))/(Inputs!B6/(Inputs!B7*100))</f>
        <v>-0.132976497186188</v>
      </c>
    </row>
    <row r="13" customFormat="false" ht="18" hidden="false" customHeight="true" outlineLevel="0" collapsed="false">
      <c r="B13" s="70" t="n">
        <v>0.45</v>
      </c>
      <c r="C13" s="71" t="n">
        <f aca="false">(((Inputs!B6+Inputs!B14+(Inputs!B34*Inputs!B35*(1-Inputs!B30))-(((Inputs!B16*(1+0.45)*Inputs!B15)*0*Inputs!B26*Inputs!B28+(Inputs!B16*(1+0.45)*Inputs!B15)*0*Inputs!B27*Inputs!B29)*(1-Inputs!B30)))/((Inputs!B7+((Inputs!B16*(1+0.45)*Inputs!B15)*(1-0)/Inputs!B8))*100))-(Inputs!B6/(Inputs!B7*100)))/(Inputs!B6/(Inputs!B7*100))</f>
        <v>-0.0926767795945685</v>
      </c>
      <c r="D13" s="71" t="n">
        <f aca="false">(((Inputs!B6+Inputs!B14+(Inputs!B34*Inputs!B35*(1-Inputs!B30))-(((Inputs!B16*(1+0.45)*Inputs!B15)*0.1*Inputs!B26*Inputs!B28+(Inputs!B16*(1+0.45)*Inputs!B15)*0.1*Inputs!B27*Inputs!B29)*(1-Inputs!B30)))/((Inputs!B7+((Inputs!B16*(1+0.45)*Inputs!B15)*(1-0.1)/Inputs!B8))*100))-(Inputs!B6/(Inputs!B7*100)))/(Inputs!B6/(Inputs!B7*100))</f>
        <v>-0.0967596273585388</v>
      </c>
      <c r="E13" s="71" t="n">
        <f aca="false">(((Inputs!B6+Inputs!B14+(Inputs!B34*Inputs!B35*(1-Inputs!B30))-(((Inputs!B16*(1+0.45)*Inputs!B15)*0.2*Inputs!B26*Inputs!B28+(Inputs!B16*(1+0.45)*Inputs!B15)*0.2*Inputs!B27*Inputs!B29)*(1-Inputs!B30)))/((Inputs!B7+((Inputs!B16*(1+0.45)*Inputs!B15)*(1-0.2)/Inputs!B8))*100))-(Inputs!B6/(Inputs!B7*100)))/(Inputs!B6/(Inputs!B7*100))</f>
        <v>-0.100989132294191</v>
      </c>
      <c r="F13" s="71" t="n">
        <f aca="false">(((Inputs!B6+Inputs!B14+(Inputs!B34*Inputs!B35*(1-Inputs!B30))-(((Inputs!B16*(1+0.45)*Inputs!B15)*0.3*Inputs!B26*Inputs!B28+(Inputs!B16*(1+0.45)*Inputs!B15)*0.3*Inputs!B27*Inputs!B29)*(1-Inputs!B30)))/((Inputs!B7+((Inputs!B16*(1+0.45)*Inputs!B15)*(1-0.3)/Inputs!B8))*100))-(Inputs!B6/(Inputs!B7*100)))/(Inputs!B6/(Inputs!B7*100))</f>
        <v>-0.105373340874823</v>
      </c>
      <c r="G13" s="71" t="n">
        <f aca="false">(((Inputs!B6+Inputs!B14+(Inputs!B34*Inputs!B35*(1-Inputs!B30))-(((Inputs!B16*(1+0.45)*Inputs!B15)*0.4*Inputs!B26*Inputs!B28+(Inputs!B16*(1+0.45)*Inputs!B15)*0.4*Inputs!B27*Inputs!B29)*(1-Inputs!B30)))/((Inputs!B7+((Inputs!B16*(1+0.45)*Inputs!B15)*(1-0.4)/Inputs!B8))*100))-(Inputs!B6/(Inputs!B7*100)))/(Inputs!B6/(Inputs!B7*100))</f>
        <v>-0.109920899175297</v>
      </c>
      <c r="H13" s="71" t="n">
        <f aca="false">(((Inputs!B6+Inputs!B14+(Inputs!B34*Inputs!B35*(1-Inputs!B30))-(((Inputs!B16*(1+0.45)*Inputs!B15)*0.5*Inputs!B26*Inputs!B28+(Inputs!B16*(1+0.45)*Inputs!B15)*0.5*Inputs!B27*Inputs!B29)*(1-Inputs!B30)))/((Inputs!B7+((Inputs!B16*(1+0.45)*Inputs!B15)*(1-0.5)/Inputs!B8))*100))-(Inputs!B6/(Inputs!B7*100)))/(Inputs!B6/(Inputs!B7*100))</f>
        <v>-0.114641109783126</v>
      </c>
      <c r="I13" s="71" t="n">
        <f aca="false">(((Inputs!B6+Inputs!B14+(Inputs!B34*Inputs!B35*(1-Inputs!B30))-(((Inputs!B16*(1+0.45)*Inputs!B15)*0.6*Inputs!B26*Inputs!B28+(Inputs!B16*(1+0.45)*Inputs!B15)*0.6*Inputs!B27*Inputs!B29)*(1-Inputs!B30)))/((Inputs!B7+((Inputs!B16*(1+0.45)*Inputs!B15)*(1-0.6)/Inputs!B8))*100))-(Inputs!B6/(Inputs!B7*100)))/(Inputs!B6/(Inputs!B7*100))</f>
        <v>-0.119543995317033</v>
      </c>
      <c r="J13" s="71" t="n">
        <f aca="false">(((Inputs!B6+Inputs!B14+(Inputs!B34*Inputs!B35*(1-Inputs!B30))-(((Inputs!B16*(1+0.45)*Inputs!B15)*0.7*Inputs!B26*Inputs!B28+(Inputs!B16*(1+0.45)*Inputs!B15)*0.7*Inputs!B27*Inputs!B29)*(1-Inputs!B30)))/((Inputs!B7+((Inputs!B16*(1+0.45)*Inputs!B15)*(1-0.7)/Inputs!B8))*100))-(Inputs!B6/(Inputs!B7*100)))/(Inputs!B6/(Inputs!B7*100))</f>
        <v>-0.124640369465656</v>
      </c>
      <c r="K13" s="71" t="n">
        <f aca="false">(((Inputs!B6+Inputs!B14+(Inputs!B34*Inputs!B35*(1-Inputs!B30))-(((Inputs!B16*(1+0.45)*Inputs!B15)*0.8*Inputs!B26*Inputs!B28+(Inputs!B16*(1+0.45)*Inputs!B15)*0.8*Inputs!B27*Inputs!B29)*(1-Inputs!B30)))/((Inputs!B7+((Inputs!B16*(1+0.45)*Inputs!B15)*(1-0.8)/Inputs!B8))*100))-(Inputs!B6/(Inputs!B7*100)))/(Inputs!B6/(Inputs!B7*100))</f>
        <v>-0.129941916606002</v>
      </c>
      <c r="L13" s="71" t="n">
        <f aca="false">(((Inputs!B6+Inputs!B14+(Inputs!B34*Inputs!B35*(1-Inputs!B30))-(((Inputs!B16*(1+0.45)*Inputs!B15)*0.9*Inputs!B26*Inputs!B28+(Inputs!B16*(1+0.45)*Inputs!B15)*0.9*Inputs!B27*Inputs!B29)*(1-Inputs!B30)))/((Inputs!B7+((Inputs!B16*(1+0.45)*Inputs!B15)*(1-0.9)/Inputs!B8))*100))-(Inputs!B6/(Inputs!B7*100)))/(Inputs!B6/(Inputs!B7*100))</f>
        <v>-0.135461281235431</v>
      </c>
      <c r="M13" s="71" t="n">
        <f aca="false">(((Inputs!B6+Inputs!B14+(Inputs!B34*Inputs!B35*(1-Inputs!B30))-(((Inputs!B16*(1+0.45)*Inputs!B15)*1*Inputs!B26*Inputs!B28+(Inputs!B16*(1+0.45)*Inputs!B15)*1*Inputs!B27*Inputs!B29)*(1-Inputs!B30)))/((Inputs!B7+((Inputs!B16*(1+0.45)*Inputs!B15)*(1-1)/Inputs!B8))*100))-(Inputs!B6/(Inputs!B7*100)))/(Inputs!B6/(Inputs!B7*100))</f>
        <v>-0.141212168657953</v>
      </c>
    </row>
    <row r="14" customFormat="false" ht="9.75" hidden="false" customHeight="true" outlineLevel="0" collapsed="false"/>
    <row r="15" customFormat="false" ht="21.75" hidden="false" customHeight="true" outlineLevel="0" collapsed="false">
      <c r="B15" s="73" t="s">
        <v>143</v>
      </c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</row>
    <row r="16" customFormat="false" ht="13.5" hidden="false" customHeight="true" outlineLevel="0" collapsed="false">
      <c r="B16" s="3" t="s">
        <v>141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19.5" hidden="false" customHeight="true" outlineLevel="0" collapsed="false">
      <c r="B17" s="74" t="s">
        <v>142</v>
      </c>
      <c r="C17" s="75" t="n">
        <v>0</v>
      </c>
      <c r="D17" s="75" t="n">
        <v>0.1</v>
      </c>
      <c r="E17" s="75" t="n">
        <v>0.2</v>
      </c>
      <c r="F17" s="75" t="n">
        <v>0.3</v>
      </c>
      <c r="G17" s="75" t="n">
        <v>0.4</v>
      </c>
      <c r="H17" s="75" t="n">
        <v>0.5</v>
      </c>
      <c r="I17" s="75" t="n">
        <v>0.6</v>
      </c>
      <c r="J17" s="75" t="n">
        <v>0.7</v>
      </c>
      <c r="K17" s="75" t="n">
        <v>0.8</v>
      </c>
      <c r="L17" s="75" t="n">
        <v>0.9</v>
      </c>
      <c r="M17" s="75" t="n">
        <v>1</v>
      </c>
    </row>
    <row r="18" customFormat="false" ht="18" hidden="false" customHeight="true" outlineLevel="0" collapsed="false">
      <c r="B18" s="76" t="n">
        <v>0.15</v>
      </c>
      <c r="C18" s="71" t="n">
        <f aca="false">(((Inputs!B6+Inputs!B14+(Inputs!B34*Inputs!B37*(1-Inputs!B30))-(((Inputs!B16*(1+0.15)*Inputs!B15)*0*Inputs!B26*Inputs!B28+(Inputs!B16*(1+0.15)*Inputs!B15)*0*Inputs!B27*Inputs!B29)*(1-Inputs!B30)))/((Inputs!B7+((Inputs!B16*(1+0.15)*Inputs!B15)*(1-0)/Inputs!B8))*100))-(Inputs!B6/(Inputs!B7*100)))/(Inputs!B6/(Inputs!B7*100))</f>
        <v>-0.0186714849151187</v>
      </c>
      <c r="D18" s="71" t="n">
        <f aca="false">(((Inputs!B6+Inputs!B14+(Inputs!B34*Inputs!B37*(1-Inputs!B30))-(((Inputs!B16*(1+0.15)*Inputs!B15)*0.1*Inputs!B26*Inputs!B28+(Inputs!B16*(1+0.15)*Inputs!B15)*0.1*Inputs!B27*Inputs!B29)*(1-Inputs!B30)))/((Inputs!B7+((Inputs!B16*(1+0.15)*Inputs!B15)*(1-0.1)/Inputs!B8))*100))-(Inputs!B6/(Inputs!B7*100)))/(Inputs!B6/(Inputs!B7*100))</f>
        <v>-0.0209488724332802</v>
      </c>
      <c r="E18" s="71" t="n">
        <f aca="false">(((Inputs!B6+Inputs!B14+(Inputs!B34*Inputs!B37*(1-Inputs!B30))-(((Inputs!B16*(1+0.15)*Inputs!B15)*0.2*Inputs!B26*Inputs!B28+(Inputs!B16*(1+0.15)*Inputs!B15)*0.2*Inputs!B27*Inputs!B29)*(1-Inputs!B30)))/((Inputs!B7+((Inputs!B16*(1+0.15)*Inputs!B15)*(1-0.2)/Inputs!B8))*100))-(Inputs!B6/(Inputs!B7*100)))/(Inputs!B6/(Inputs!B7*100))</f>
        <v>-0.0232931271326894</v>
      </c>
      <c r="F18" s="71" t="n">
        <f aca="false">(((Inputs!B6+Inputs!B14+(Inputs!B34*Inputs!B37*(1-Inputs!B30))-(((Inputs!B16*(1+0.15)*Inputs!B15)*0.3*Inputs!B26*Inputs!B28+(Inputs!B16*(1+0.15)*Inputs!B15)*0.3*Inputs!B27*Inputs!B29)*(1-Inputs!B30)))/((Inputs!B7+((Inputs!B16*(1+0.15)*Inputs!B15)*(1-0.3)/Inputs!B8))*100))-(Inputs!B6/(Inputs!B7*100)))/(Inputs!B6/(Inputs!B7*100))</f>
        <v>-0.0257072378580852</v>
      </c>
      <c r="G18" s="71" t="n">
        <f aca="false">(((Inputs!B6+Inputs!B14+(Inputs!B34*Inputs!B37*(1-Inputs!B30))-(((Inputs!B16*(1+0.15)*Inputs!B15)*0.4*Inputs!B26*Inputs!B28+(Inputs!B16*(1+0.15)*Inputs!B15)*0.4*Inputs!B27*Inputs!B29)*(1-Inputs!B30)))/((Inputs!B7+((Inputs!B16*(1+0.15)*Inputs!B15)*(1-0.4)/Inputs!B8))*100))-(Inputs!B6/(Inputs!B7*100)))/(Inputs!B6/(Inputs!B7*100))</f>
        <v>-0.0281943742764508</v>
      </c>
      <c r="H18" s="71" t="n">
        <f aca="false">(((Inputs!B6+Inputs!B14+(Inputs!B34*Inputs!B37*(1-Inputs!B30))-(((Inputs!B16*(1+0.15)*Inputs!B15)*0.5*Inputs!B26*Inputs!B28+(Inputs!B16*(1+0.15)*Inputs!B15)*0.5*Inputs!B27*Inputs!B29)*(1-Inputs!B30)))/((Inputs!B7+((Inputs!B16*(1+0.15)*Inputs!B15)*(1-0.5)/Inputs!B8))*100))-(Inputs!B6/(Inputs!B7*100)))/(Inputs!B6/(Inputs!B7*100))</f>
        <v>-0.0307579007614767</v>
      </c>
      <c r="I18" s="71" t="n">
        <f aca="false">(((Inputs!B6+Inputs!B14+(Inputs!B34*Inputs!B37*(1-Inputs!B30))-(((Inputs!B16*(1+0.15)*Inputs!B15)*0.6*Inputs!B26*Inputs!B28+(Inputs!B16*(1+0.15)*Inputs!B15)*0.6*Inputs!B27*Inputs!B29)*(1-Inputs!B30)))/((Inputs!B7+((Inputs!B16*(1+0.15)*Inputs!B15)*(1-0.6)/Inputs!B8))*100))-(Inputs!B6/(Inputs!B7*100)))/(Inputs!B6/(Inputs!B7*100))</f>
        <v>-0.0334013915773244</v>
      </c>
      <c r="J18" s="71" t="n">
        <f aca="false">(((Inputs!B6+Inputs!B14+(Inputs!B34*Inputs!B37*(1-Inputs!B30))-(((Inputs!B16*(1+0.15)*Inputs!B15)*0.7*Inputs!B26*Inputs!B28+(Inputs!B16*(1+0.15)*Inputs!B15)*0.7*Inputs!B27*Inputs!B29)*(1-Inputs!B30)))/((Inputs!B7+((Inputs!B16*(1+0.15)*Inputs!B15)*(1-0.7)/Inputs!B8))*100))-(Inputs!B6/(Inputs!B7*100)))/(Inputs!B6/(Inputs!B7*100))</f>
        <v>-0.0361286475057875</v>
      </c>
      <c r="K18" s="71" t="n">
        <f aca="false">(((Inputs!B6+Inputs!B14+(Inputs!B34*Inputs!B37*(1-Inputs!B30))-(((Inputs!B16*(1+0.15)*Inputs!B15)*0.8*Inputs!B26*Inputs!B28+(Inputs!B16*(1+0.15)*Inputs!B15)*0.8*Inputs!B27*Inputs!B29)*(1-Inputs!B30)))/((Inputs!B7+((Inputs!B16*(1+0.15)*Inputs!B15)*(1-0.8)/Inputs!B8))*100))-(Inputs!B6/(Inputs!B7*100)))/(Inputs!B6/(Inputs!B7*100))</f>
        <v>-0.038943714079509</v>
      </c>
      <c r="L18" s="71" t="n">
        <f aca="false">(((Inputs!B6+Inputs!B14+(Inputs!B34*Inputs!B37*(1-Inputs!B30))-(((Inputs!B16*(1+0.15)*Inputs!B15)*0.9*Inputs!B26*Inputs!B28+(Inputs!B16*(1+0.15)*Inputs!B15)*0.9*Inputs!B27*Inputs!B29)*(1-Inputs!B30)))/((Inputs!B7+((Inputs!B16*(1+0.15)*Inputs!B15)*(1-0.9)/Inputs!B8))*100))-(Inputs!B6/(Inputs!B7*100)))/(Inputs!B6/(Inputs!B7*100))</f>
        <v>-0.0418509016052021</v>
      </c>
      <c r="M18" s="71" t="n">
        <f aca="false">(((Inputs!B6+Inputs!B14+(Inputs!B34*Inputs!B37*(1-Inputs!B30))-(((Inputs!B16*(1+0.15)*Inputs!B15)*1*Inputs!B26*Inputs!B28+(Inputs!B16*(1+0.15)*Inputs!B15)*1*Inputs!B27*Inputs!B29)*(1-Inputs!B30)))/((Inputs!B7+((Inputs!B16*(1+0.15)*Inputs!B15)*(1-1)/Inputs!B8))*100))-(Inputs!B6/(Inputs!B7*100)))/(Inputs!B6/(Inputs!B7*100))</f>
        <v>-0.0448548071853067</v>
      </c>
    </row>
    <row r="19" customFormat="false" ht="18" hidden="false" customHeight="true" outlineLevel="0" collapsed="false">
      <c r="B19" s="76" t="n">
        <v>0.2</v>
      </c>
      <c r="C19" s="71" t="n">
        <f aca="false">(((Inputs!B6+Inputs!B14+(Inputs!B34*Inputs!B37*(1-Inputs!B30))-(((Inputs!B16*(1+0.2)*Inputs!B15)*0*Inputs!B26*Inputs!B28+(Inputs!B16*(1+0.2)*Inputs!B15)*0*Inputs!B27*Inputs!B29)*(1-Inputs!B30)))/((Inputs!B7+((Inputs!B16*(1+0.2)*Inputs!B15)*(1-0)/Inputs!B8))*100))-(Inputs!B6/(Inputs!B7*100)))/(Inputs!B6/(Inputs!B7*100))</f>
        <v>-0.0247190441797663</v>
      </c>
      <c r="D19" s="71" t="n">
        <f aca="false">(((Inputs!B6+Inputs!B14+(Inputs!B34*Inputs!B37*(1-Inputs!B30))-(((Inputs!B16*(1+0.2)*Inputs!B15)*0.1*Inputs!B26*Inputs!B28+(Inputs!B16*(1+0.2)*Inputs!B15)*0.1*Inputs!B27*Inputs!B29)*(1-Inputs!B30)))/((Inputs!B7+((Inputs!B16*(1+0.2)*Inputs!B15)*(1-0.1)/Inputs!B8))*100))-(Inputs!B6/(Inputs!B7*100)))/(Inputs!B6/(Inputs!B7*100))</f>
        <v>-0.0271728582705027</v>
      </c>
      <c r="E19" s="71" t="n">
        <f aca="false">(((Inputs!B6+Inputs!B14+(Inputs!B34*Inputs!B37*(1-Inputs!B30))-(((Inputs!B16*(1+0.2)*Inputs!B15)*0.2*Inputs!B26*Inputs!B28+(Inputs!B16*(1+0.2)*Inputs!B15)*0.2*Inputs!B27*Inputs!B29)*(1-Inputs!B30)))/((Inputs!B7+((Inputs!B16*(1+0.2)*Inputs!B15)*(1-0.2)/Inputs!B8))*100))-(Inputs!B6/(Inputs!B7*100)))/(Inputs!B6/(Inputs!B7*100))</f>
        <v>-0.0297014702150812</v>
      </c>
      <c r="F19" s="71" t="n">
        <f aca="false">(((Inputs!B6+Inputs!B14+(Inputs!B34*Inputs!B37*(1-Inputs!B30))-(((Inputs!B16*(1+0.2)*Inputs!B15)*0.3*Inputs!B26*Inputs!B28+(Inputs!B16*(1+0.2)*Inputs!B15)*0.3*Inputs!B27*Inputs!B29)*(1-Inputs!B30)))/((Inputs!B7+((Inputs!B16*(1+0.2)*Inputs!B15)*(1-0.3)/Inputs!B8))*100))-(Inputs!B6/(Inputs!B7*100)))/(Inputs!B6/(Inputs!B7*100))</f>
        <v>-0.0323083529591007</v>
      </c>
      <c r="G19" s="71" t="n">
        <f aca="false">(((Inputs!B6+Inputs!B14+(Inputs!B34*Inputs!B37*(1-Inputs!B30))-(((Inputs!B16*(1+0.2)*Inputs!B15)*0.4*Inputs!B26*Inputs!B28+(Inputs!B16*(1+0.2)*Inputs!B15)*0.4*Inputs!B27*Inputs!B29)*(1-Inputs!B30)))/((Inputs!B7+((Inputs!B16*(1+0.2)*Inputs!B15)*(1-0.4)/Inputs!B8))*100))-(Inputs!B6/(Inputs!B7*100)))/(Inputs!B6/(Inputs!B7*100))</f>
        <v>-0.0349971978316029</v>
      </c>
      <c r="H19" s="71" t="n">
        <f aca="false">(((Inputs!B6+Inputs!B14+(Inputs!B34*Inputs!B37*(1-Inputs!B30))-(((Inputs!B16*(1+0.2)*Inputs!B15)*0.5*Inputs!B26*Inputs!B28+(Inputs!B16*(1+0.2)*Inputs!B15)*0.5*Inputs!B27*Inputs!B29)*(1-Inputs!B30)))/((Inputs!B7+((Inputs!B16*(1+0.2)*Inputs!B15)*(1-0.5)/Inputs!B8))*100))-(Inputs!B6/(Inputs!B7*100)))/(Inputs!B6/(Inputs!B7*100))</f>
        <v>-0.0377719319845268</v>
      </c>
      <c r="I19" s="71" t="n">
        <f aca="false">(((Inputs!B6+Inputs!B14+(Inputs!B34*Inputs!B37*(1-Inputs!B30))-(((Inputs!B16*(1+0.2)*Inputs!B15)*0.6*Inputs!B26*Inputs!B28+(Inputs!B16*(1+0.2)*Inputs!B15)*0.6*Inputs!B27*Inputs!B29)*(1-Inputs!B30)))/((Inputs!B7+((Inputs!B16*(1+0.2)*Inputs!B15)*(1-0.6)/Inputs!B8))*100))-(Inputs!B6/(Inputs!B7*100)))/(Inputs!B6/(Inputs!B7*100))</f>
        <v>-0.0406367375304868</v>
      </c>
      <c r="J19" s="71" t="n">
        <f aca="false">(((Inputs!B6+Inputs!B14+(Inputs!B34*Inputs!B37*(1-Inputs!B30))-(((Inputs!B16*(1+0.2)*Inputs!B15)*0.7*Inputs!B26*Inputs!B28+(Inputs!B16*(1+0.2)*Inputs!B15)*0.7*Inputs!B27*Inputs!B29)*(1-Inputs!B30)))/((Inputs!B7+((Inputs!B16*(1+0.2)*Inputs!B15)*(1-0.7)/Inputs!B8))*100))-(Inputs!B6/(Inputs!B7*100)))/(Inputs!B6/(Inputs!B7*100))</f>
        <v>-0.0435960725750059</v>
      </c>
      <c r="K19" s="71" t="n">
        <f aca="false">(((Inputs!B6+Inputs!B14+(Inputs!B34*Inputs!B37*(1-Inputs!B30))-(((Inputs!B16*(1+0.2)*Inputs!B15)*0.8*Inputs!B26*Inputs!B28+(Inputs!B16*(1+0.2)*Inputs!B15)*0.8*Inputs!B27*Inputs!B29)*(1-Inputs!B30)))/((Inputs!B7+((Inputs!B16*(1+0.2)*Inputs!B15)*(1-0.8)/Inputs!B8))*100))-(Inputs!B6/(Inputs!B7*100)))/(Inputs!B6/(Inputs!B7*100))</f>
        <v>-0.0466546943656677</v>
      </c>
      <c r="L19" s="71" t="n">
        <f aca="false">(((Inputs!B6+Inputs!B14+(Inputs!B34*Inputs!B37*(1-Inputs!B30))-(((Inputs!B16*(1+0.2)*Inputs!B15)*0.9*Inputs!B26*Inputs!B28+(Inputs!B16*(1+0.2)*Inputs!B15)*0.9*Inputs!B27*Inputs!B29)*(1-Inputs!B30)))/((Inputs!B7+((Inputs!B16*(1+0.2)*Inputs!B15)*(1-0.9)/Inputs!B8))*100))-(Inputs!B6/(Inputs!B7*100)))/(Inputs!B6/(Inputs!B7*100))</f>
        <v>-0.0498176848110073</v>
      </c>
      <c r="M19" s="71" t="n">
        <f aca="false">(((Inputs!B6+Inputs!B14+(Inputs!B34*Inputs!B37*(1-Inputs!B30))-(((Inputs!B16*(1+0.2)*Inputs!B15)*1*Inputs!B26*Inputs!B28+(Inputs!B16*(1+0.2)*Inputs!B15)*1*Inputs!B27*Inputs!B29)*(1-Inputs!B30)))/((Inputs!B7+((Inputs!B16*(1+0.2)*Inputs!B15)*(1-1)/Inputs!B8))*100))-(Inputs!B6/(Inputs!B7*100)))/(Inputs!B6/(Inputs!B7*100))</f>
        <v>-0.0530904786570718</v>
      </c>
    </row>
    <row r="20" customFormat="false" ht="18" hidden="false" customHeight="true" outlineLevel="0" collapsed="false">
      <c r="B20" s="76" t="n">
        <v>0.25</v>
      </c>
      <c r="C20" s="71" t="n">
        <f aca="false">(((Inputs!B6+Inputs!B14+(Inputs!B34*Inputs!B37*(1-Inputs!B30))-(((Inputs!B16*(1+0.25)*Inputs!B15)*0*Inputs!B26*Inputs!B28+(Inputs!B16*(1+0.25)*Inputs!B15)*0*Inputs!B27*Inputs!B29)*(1-Inputs!B30)))/((Inputs!B7+((Inputs!B16*(1+0.25)*Inputs!B15)*(1-0)/Inputs!B8))*100))-(Inputs!B6/(Inputs!B7*100)))/(Inputs!B6/(Inputs!B7*100))</f>
        <v>-0.0306925223034794</v>
      </c>
      <c r="D20" s="71" t="n">
        <f aca="false">(((Inputs!B6+Inputs!B14+(Inputs!B34*Inputs!B37*(1-Inputs!B30))-(((Inputs!B16*(1+0.25)*Inputs!B15)*0.1*Inputs!B26*Inputs!B28+(Inputs!B16*(1+0.25)*Inputs!B15)*0.1*Inputs!B27*Inputs!B29)*(1-Inputs!B30)))/((Inputs!B7+((Inputs!B16*(1+0.25)*Inputs!B15)*(1-0.1)/Inputs!B8))*100))-(Inputs!B6/(Inputs!B7*100)))/(Inputs!B6/(Inputs!B7*100))</f>
        <v>-0.0333271589838272</v>
      </c>
      <c r="E20" s="71" t="n">
        <f aca="false">(((Inputs!B6+Inputs!B14+(Inputs!B34*Inputs!B37*(1-Inputs!B30))-(((Inputs!B16*(1+0.25)*Inputs!B15)*0.2*Inputs!B26*Inputs!B28+(Inputs!B16*(1+0.25)*Inputs!B15)*0.2*Inputs!B27*Inputs!B29)*(1-Inputs!B30)))/((Inputs!B7+((Inputs!B16*(1+0.25)*Inputs!B15)*(1-0.2)/Inputs!B8))*100))-(Inputs!B6/(Inputs!B7*100)))/(Inputs!B6/(Inputs!B7*100))</f>
        <v>-0.0360450287864471</v>
      </c>
      <c r="F20" s="71" t="n">
        <f aca="false">(((Inputs!B6+Inputs!B14+(Inputs!B34*Inputs!B37*(1-Inputs!B30))-(((Inputs!B16*(1+0.25)*Inputs!B15)*0.3*Inputs!B26*Inputs!B28+(Inputs!B16*(1+0.25)*Inputs!B15)*0.3*Inputs!B27*Inputs!B29)*(1-Inputs!B30)))/((Inputs!B7+((Inputs!B16*(1+0.25)*Inputs!B15)*(1-0.3)/Inputs!B8))*100))-(Inputs!B6/(Inputs!B7*100)))/(Inputs!B6/(Inputs!B7*100))</f>
        <v>-0.0388501392502264</v>
      </c>
      <c r="G20" s="71" t="n">
        <f aca="false">(((Inputs!B6+Inputs!B14+(Inputs!B34*Inputs!B37*(1-Inputs!B30))-(((Inputs!B16*(1+0.25)*Inputs!B15)*0.4*Inputs!B26*Inputs!B28+(Inputs!B16*(1+0.25)*Inputs!B15)*0.4*Inputs!B27*Inputs!B29)*(1-Inputs!B30)))/((Inputs!B7+((Inputs!B16*(1+0.25)*Inputs!B15)*(1-0.4)/Inputs!B8))*100))-(Inputs!B6/(Inputs!B7*100)))/(Inputs!B6/(Inputs!B7*100))</f>
        <v>-0.0417467593858017</v>
      </c>
      <c r="H20" s="71" t="n">
        <f aca="false">(((Inputs!B6+Inputs!B14+(Inputs!B34*Inputs!B37*(1-Inputs!B30))-(((Inputs!B16*(1+0.25)*Inputs!B15)*0.5*Inputs!B26*Inputs!B28+(Inputs!B16*(1+0.25)*Inputs!B15)*0.5*Inputs!B27*Inputs!B29)*(1-Inputs!B30)))/((Inputs!B7+((Inputs!B16*(1+0.25)*Inputs!B15)*(1-0.5)/Inputs!B8))*100))-(Inputs!B6/(Inputs!B7*100)))/(Inputs!B6/(Inputs!B7*100))</f>
        <v>-0.0447394413538006</v>
      </c>
      <c r="I20" s="71" t="n">
        <f aca="false">(((Inputs!B6+Inputs!B14+(Inputs!B34*Inputs!B37*(1-Inputs!B30))-(((Inputs!B16*(1+0.25)*Inputs!B15)*0.6*Inputs!B26*Inputs!B28+(Inputs!B16*(1+0.25)*Inputs!B15)*0.6*Inputs!B27*Inputs!B29)*(1-Inputs!B30)))/((Inputs!B7+((Inputs!B16*(1+0.25)*Inputs!B15)*(1-0.6)/Inputs!B8))*100))-(Inputs!B6/(Inputs!B7*100)))/(Inputs!B6/(Inputs!B7*100))</f>
        <v>-0.0478330443362281</v>
      </c>
      <c r="J20" s="71" t="n">
        <f aca="false">(((Inputs!B6+Inputs!B14+(Inputs!B34*Inputs!B37*(1-Inputs!B30))-(((Inputs!B16*(1+0.25)*Inputs!B15)*0.7*Inputs!B26*Inputs!B28+(Inputs!B16*(1+0.25)*Inputs!B15)*0.7*Inputs!B27*Inputs!B29)*(1-Inputs!B30)))/((Inputs!B7+((Inputs!B16*(1+0.25)*Inputs!B15)*(1-0.7)/Inputs!B8))*100))-(Inputs!B6/(Inputs!B7*100)))/(Inputs!B6/(Inputs!B7*100))</f>
        <v>-0.051032760864283</v>
      </c>
      <c r="K20" s="71" t="n">
        <f aca="false">(((Inputs!B6+Inputs!B14+(Inputs!B34*Inputs!B37*(1-Inputs!B30))-(((Inputs!B16*(1+0.25)*Inputs!B15)*0.8*Inputs!B26*Inputs!B28+(Inputs!B16*(1+0.25)*Inputs!B15)*0.8*Inputs!B27*Inputs!B29)*(1-Inputs!B30)))/((Inputs!B7+((Inputs!B16*(1+0.25)*Inputs!B15)*(1-0.8)/Inputs!B8))*100))-(Inputs!B6/(Inputs!B7*100)))/(Inputs!B6/(Inputs!B7*100))</f>
        <v>-0.0543441459026607</v>
      </c>
      <c r="L20" s="71" t="n">
        <f aca="false">(((Inputs!B6+Inputs!B14+(Inputs!B34*Inputs!B37*(1-Inputs!B30))-(((Inputs!B16*(1+0.25)*Inputs!B15)*0.9*Inputs!B26*Inputs!B28+(Inputs!B16*(1+0.25)*Inputs!B15)*0.9*Inputs!B27*Inputs!B29)*(1-Inputs!B30)))/((Inputs!B7+((Inputs!B16*(1+0.25)*Inputs!B15)*(1-0.9)/Inputs!B8))*100))-(Inputs!B6/(Inputs!B7*100)))/(Inputs!B6/(Inputs!B7*100))</f>
        <v>-0.0577731490330158</v>
      </c>
      <c r="M20" s="71" t="n">
        <f aca="false">(((Inputs!B6+Inputs!B14+(Inputs!B34*Inputs!B37*(1-Inputs!B30))-(((Inputs!B16*(1+0.25)*Inputs!B15)*1*Inputs!B26*Inputs!B28+(Inputs!B16*(1+0.25)*Inputs!B15)*1*Inputs!B27*Inputs!B29)*(1-Inputs!B30)))/((Inputs!B7+((Inputs!B16*(1+0.25)*Inputs!B15)*(1-1)/Inputs!B8))*100))-(Inputs!B6/(Inputs!B7*100)))/(Inputs!B6/(Inputs!B7*100))</f>
        <v>-0.0613261501288364</v>
      </c>
    </row>
    <row r="21" customFormat="false" ht="18" hidden="false" customHeight="true" outlineLevel="0" collapsed="false">
      <c r="B21" s="76" t="n">
        <v>0.3</v>
      </c>
      <c r="C21" s="71" t="n">
        <f aca="false">(((Inputs!B6+Inputs!B14+(Inputs!B34*Inputs!B37*(1-Inputs!B30))-(((Inputs!B16*(1+0.3)*Inputs!B15)*0*Inputs!B26*Inputs!B28+(Inputs!B16*(1+0.3)*Inputs!B15)*0*Inputs!B27*Inputs!B29)*(1-Inputs!B30)))/((Inputs!B7+((Inputs!B16*(1+0.3)*Inputs!B15)*(1-0)/Inputs!B8))*100))-(Inputs!B6/(Inputs!B7*100)))/(Inputs!B6/(Inputs!B7*100))</f>
        <v>-0.036593272213877</v>
      </c>
      <c r="D21" s="71" t="n">
        <f aca="false">(((Inputs!B6+Inputs!B14+(Inputs!B34*Inputs!B37*(1-Inputs!B30))-(((Inputs!B16*(1+0.3)*Inputs!B15)*0.1*Inputs!B26*Inputs!B28+(Inputs!B16*(1+0.3)*Inputs!B15)*0.1*Inputs!B27*Inputs!B29)*(1-Inputs!B30)))/((Inputs!B7+((Inputs!B16*(1+0.3)*Inputs!B15)*(1-0.1)/Inputs!B8))*100))-(Inputs!B6/(Inputs!B7*100)))/(Inputs!B6/(Inputs!B7*100))</f>
        <v>-0.0394129383732936</v>
      </c>
      <c r="E21" s="71" t="n">
        <f aca="false">(((Inputs!B6+Inputs!B14+(Inputs!B34*Inputs!B37*(1-Inputs!B30))-(((Inputs!B16*(1+0.3)*Inputs!B15)*0.2*Inputs!B26*Inputs!B28+(Inputs!B16*(1+0.3)*Inputs!B15)*0.2*Inputs!B27*Inputs!B29)*(1-Inputs!B30)))/((Inputs!B7+((Inputs!B16*(1+0.3)*Inputs!B15)*(1-0.2)/Inputs!B8))*100))-(Inputs!B6/(Inputs!B7*100)))/(Inputs!B6/(Inputs!B7*100))</f>
        <v>-0.0423247803049455</v>
      </c>
      <c r="F21" s="71" t="n">
        <f aca="false">(((Inputs!B6+Inputs!B14+(Inputs!B34*Inputs!B37*(1-Inputs!B30))-(((Inputs!B16*(1+0.3)*Inputs!B15)*0.3*Inputs!B26*Inputs!B28+(Inputs!B16*(1+0.3)*Inputs!B15)*0.3*Inputs!B27*Inputs!B29)*(1-Inputs!B30)))/((Inputs!B7+((Inputs!B16*(1+0.3)*Inputs!B15)*(1-0.3)/Inputs!B8))*100))-(Inputs!B6/(Inputs!B7*100)))/(Inputs!B6/(Inputs!B7*100))</f>
        <v>-0.0453333929970476</v>
      </c>
      <c r="G21" s="71" t="n">
        <f aca="false">(((Inputs!B6+Inputs!B14+(Inputs!B34*Inputs!B37*(1-Inputs!B30))-(((Inputs!B16*(1+0.3)*Inputs!B15)*0.4*Inputs!B26*Inputs!B28+(Inputs!B16*(1+0.3)*Inputs!B15)*0.4*Inputs!B27*Inputs!B29)*(1-Inputs!B30)))/((Inputs!B7+((Inputs!B16*(1+0.3)*Inputs!B15)*(1-0.4)/Inputs!B8))*100))-(Inputs!B6/(Inputs!B7*100)))/(Inputs!B6/(Inputs!B7*100))</f>
        <v>-0.0484436820138599</v>
      </c>
      <c r="H21" s="71" t="n">
        <f aca="false">(((Inputs!B6+Inputs!B14+(Inputs!B34*Inputs!B37*(1-Inputs!B30))-(((Inputs!B16*(1+0.3)*Inputs!B15)*0.5*Inputs!B26*Inputs!B28+(Inputs!B16*(1+0.3)*Inputs!B15)*0.5*Inputs!B27*Inputs!B29)*(1-Inputs!B30)))/((Inputs!B7+((Inputs!B16*(1+0.3)*Inputs!B15)*(1-0.5)/Inputs!B8))*100))-(Inputs!B6/(Inputs!B7*100)))/(Inputs!B6/(Inputs!B7*100))</f>
        <v>-0.0516608901865563</v>
      </c>
      <c r="I21" s="72" t="n">
        <f aca="false">(((Inputs!B6+Inputs!B14+(Inputs!B34*Inputs!B37*(1-Inputs!B30))-(((Inputs!B16*(1+0.3)*Inputs!B15)*0.6*Inputs!B26*Inputs!B28+(Inputs!B16*(1+0.3)*Inputs!B15)*0.6*Inputs!B27*Inputs!B29)*(1-Inputs!B30)))/((Inputs!B7+((Inputs!B16*(1+0.3)*Inputs!B15)*(1-0.6)/Inputs!B8))*100))-(Inputs!B6/(Inputs!B7*100)))/(Inputs!B6/(Inputs!B7*100))</f>
        <v>-0.0549906271048061</v>
      </c>
      <c r="J21" s="71" t="n">
        <f aca="false">(((Inputs!B6+Inputs!B14+(Inputs!B34*Inputs!B37*(1-Inputs!B30))-(((Inputs!B16*(1+0.3)*Inputs!B15)*0.7*Inputs!B26*Inputs!B28+(Inputs!B16*(1+0.3)*Inputs!B15)*0.7*Inputs!B27*Inputs!B29)*(1-Inputs!B30)))/((Inputs!B7+((Inputs!B16*(1+0.3)*Inputs!B15)*(1-0.7)/Inputs!B8))*100))-(Inputs!B6/(Inputs!B7*100)))/(Inputs!B6/(Inputs!B7*100))</f>
        <v>-0.0584389017580339</v>
      </c>
      <c r="K21" s="71" t="n">
        <f aca="false">(((Inputs!B6+Inputs!B14+(Inputs!B34*Inputs!B37*(1-Inputs!B30))-(((Inputs!B16*(1+0.3)*Inputs!B15)*0.8*Inputs!B26*Inputs!B28+(Inputs!B16*(1+0.3)*Inputs!B15)*0.8*Inputs!B27*Inputs!B29)*(1-Inputs!B30)))/((Inputs!B7+((Inputs!B16*(1+0.3)*Inputs!B15)*(1-0.8)/Inputs!B8))*100))-(Inputs!B6/(Inputs!B7*100)))/(Inputs!B6/(Inputs!B7*100))</f>
        <v>-0.0620121587259122</v>
      </c>
      <c r="L21" s="71" t="n">
        <f aca="false">(((Inputs!B6+Inputs!B14+(Inputs!B34*Inputs!B37*(1-Inputs!B30))-(((Inputs!B16*(1+0.3)*Inputs!B15)*0.9*Inputs!B26*Inputs!B28+(Inputs!B16*(1+0.3)*Inputs!B15)*0.9*Inputs!B27*Inputs!B29)*(1-Inputs!B30)))/((Inputs!B7+((Inputs!B16*(1+0.3)*Inputs!B15)*(1-0.9)/Inputs!B8))*100))-(Inputs!B6/(Inputs!B7*100)))/(Inputs!B6/(Inputs!B7*100))</f>
        <v>-0.0657173183766488</v>
      </c>
      <c r="M21" s="71" t="n">
        <f aca="false">(((Inputs!B6+Inputs!B14+(Inputs!B34*Inputs!B37*(1-Inputs!B30))-(((Inputs!B16*(1+0.3)*Inputs!B15)*1*Inputs!B26*Inputs!B28+(Inputs!B16*(1+0.3)*Inputs!B15)*1*Inputs!B27*Inputs!B29)*(1-Inputs!B30)))/((Inputs!B7+((Inputs!B16*(1+0.3)*Inputs!B15)*(1-1)/Inputs!B8))*100))-(Inputs!B6/(Inputs!B7*100)))/(Inputs!B6/(Inputs!B7*100))</f>
        <v>-0.0695618216006015</v>
      </c>
    </row>
    <row r="22" customFormat="false" ht="18" hidden="false" customHeight="true" outlineLevel="0" collapsed="false">
      <c r="B22" s="76" t="n">
        <v>0.35</v>
      </c>
      <c r="C22" s="71" t="n">
        <f aca="false">(((Inputs!B6+Inputs!B14+(Inputs!B34*Inputs!B37*(1-Inputs!B30))-(((Inputs!B16*(1+0.35)*Inputs!B15)*0*Inputs!B26*Inputs!B28+(Inputs!B16*(1+0.35)*Inputs!B15)*0*Inputs!B27*Inputs!B29)*(1-Inputs!B30)))/((Inputs!B7+((Inputs!B16*(1+0.35)*Inputs!B15)*(1-0)/Inputs!B8))*100))-(Inputs!B6/(Inputs!B7*100)))/(Inputs!B6/(Inputs!B7*100))</f>
        <v>-0.0424226140936213</v>
      </c>
      <c r="D22" s="71" t="n">
        <f aca="false">(((Inputs!B6+Inputs!B14+(Inputs!B34*Inputs!B37*(1-Inputs!B30))-(((Inputs!B16*(1+0.35)*Inputs!B15)*0.1*Inputs!B26*Inputs!B28+(Inputs!B16*(1+0.35)*Inputs!B15)*0.1*Inputs!B27*Inputs!B29)*(1-Inputs!B30)))/((Inputs!B7+((Inputs!B16*(1+0.35)*Inputs!B15)*(1-0.1)/Inputs!B8))*100))-(Inputs!B6/(Inputs!B7*100)))/(Inputs!B6/(Inputs!B7*100))</f>
        <v>-0.0454313344671618</v>
      </c>
      <c r="E22" s="71" t="n">
        <f aca="false">(((Inputs!B6+Inputs!B14+(Inputs!B34*Inputs!B37*(1-Inputs!B30))-(((Inputs!B16*(1+0.35)*Inputs!B15)*0.2*Inputs!B26*Inputs!B28+(Inputs!B16*(1+0.35)*Inputs!B15)*0.2*Inputs!B27*Inputs!B29)*(1-Inputs!B30)))/((Inputs!B7+((Inputs!B16*(1+0.35)*Inputs!B15)*(1-0.2)/Inputs!B8))*100))-(Inputs!B6/(Inputs!B7*100)))/(Inputs!B6/(Inputs!B7*100))</f>
        <v>-0.0485416826634941</v>
      </c>
      <c r="F22" s="71" t="n">
        <f aca="false">(((Inputs!B6+Inputs!B14+(Inputs!B34*Inputs!B37*(1-Inputs!B30))-(((Inputs!B16*(1+0.35)*Inputs!B15)*0.3*Inputs!B26*Inputs!B28+(Inputs!B16*(1+0.35)*Inputs!B15)*0.3*Inputs!B27*Inputs!B29)*(1-Inputs!B30)))/((Inputs!B7+((Inputs!B16*(1+0.35)*Inputs!B15)*(1-0.3)/Inputs!B8))*100))-(Inputs!B6/(Inputs!B7*100)))/(Inputs!B6/(Inputs!B7*100))</f>
        <v>-0.0517588962794614</v>
      </c>
      <c r="G22" s="71" t="n">
        <f aca="false">(((Inputs!B6+Inputs!B14+(Inputs!B34*Inputs!B37*(1-Inputs!B30))-(((Inputs!B16*(1+0.35)*Inputs!B15)*0.4*Inputs!B26*Inputs!B28+(Inputs!B16*(1+0.35)*Inputs!B15)*0.4*Inputs!B27*Inputs!B29)*(1-Inputs!B30)))/((Inputs!B7+((Inputs!B16*(1+0.35)*Inputs!B15)*(1-0.4)/Inputs!B8))*100))-(Inputs!B6/(Inputs!B7*100)))/(Inputs!B6/(Inputs!B7*100))</f>
        <v>-0.0550885791097861</v>
      </c>
      <c r="H22" s="71" t="n">
        <f aca="false">(((Inputs!B6+Inputs!B14+(Inputs!B34*Inputs!B37*(1-Inputs!B30))-(((Inputs!B16*(1+0.35)*Inputs!B15)*0.5*Inputs!B26*Inputs!B28+(Inputs!B16*(1+0.35)*Inputs!B15)*0.5*Inputs!B27*Inputs!B29)*(1-Inputs!B30)))/((Inputs!B7+((Inputs!B16*(1+0.35)*Inputs!B15)*(1-0.5)/Inputs!B8))*100))-(Inputs!B6/(Inputs!B7*100)))/(Inputs!B6/(Inputs!B7*100))</f>
        <v>-0.0585367337208297</v>
      </c>
      <c r="I22" s="71" t="n">
        <f aca="false">(((Inputs!B6+Inputs!B14+(Inputs!B34*Inputs!B37*(1-Inputs!B30))-(((Inputs!B16*(1+0.35)*Inputs!B15)*0.6*Inputs!B26*Inputs!B28+(Inputs!B16*(1+0.35)*Inputs!B15)*0.6*Inputs!B27*Inputs!B29)*(1-Inputs!B30)))/((Inputs!B7+((Inputs!B16*(1+0.35)*Inputs!B15)*(1-0.6)/Inputs!B8))*100))-(Inputs!B6/(Inputs!B7*100)))/(Inputs!B6/(Inputs!B7*100))</f>
        <v>-0.0621097975643001</v>
      </c>
      <c r="J22" s="71" t="n">
        <f aca="false">(((Inputs!B6+Inputs!B14+(Inputs!B34*Inputs!B37*(1-Inputs!B30))-(((Inputs!B16*(1+0.35)*Inputs!B15)*0.7*Inputs!B26*Inputs!B28+(Inputs!B16*(1+0.35)*Inputs!B15)*0.7*Inputs!B27*Inputs!B29)*(1-Inputs!B30)))/((Inputs!B7+((Inputs!B16*(1+0.35)*Inputs!B15)*(1-0.7)/Inputs!B8))*100))-(Inputs!B6/(Inputs!B7*100)))/(Inputs!B6/(Inputs!B7*100))</f>
        <v>-0.0658146830880086</v>
      </c>
      <c r="K22" s="71" t="n">
        <f aca="false">(((Inputs!B6+Inputs!B14+(Inputs!B34*Inputs!B37*(1-Inputs!B30))-(((Inputs!B16*(1+0.35)*Inputs!B15)*0.8*Inputs!B26*Inputs!B28+(Inputs!B16*(1+0.35)*Inputs!B15)*0.8*Inputs!B27*Inputs!B29)*(1-Inputs!B30)))/((Inputs!B7+((Inputs!B16*(1+0.35)*Inputs!B15)*(1-0.8)/Inputs!B8))*100))-(Inputs!B6/(Inputs!B7*100)))/(Inputs!B6/(Inputs!B7*100))</f>
        <v>-0.0696588223694969</v>
      </c>
      <c r="L22" s="71" t="n">
        <f aca="false">(((Inputs!B6+Inputs!B14+(Inputs!B34*Inputs!B37*(1-Inputs!B30))-(((Inputs!B16*(1+0.35)*Inputs!B15)*0.9*Inputs!B26*Inputs!B28+(Inputs!B16*(1+0.35)*Inputs!B15)*0.9*Inputs!B27*Inputs!B29)*(1-Inputs!B30)))/((Inputs!B7+((Inputs!B16*(1+0.35)*Inputs!B15)*(1-0.9)/Inputs!B8))*100))-(Inputs!B6/(Inputs!B7*100)))/(Inputs!B6/(Inputs!B7*100))</f>
        <v>-0.0736502168789283</v>
      </c>
      <c r="M22" s="71" t="n">
        <f aca="false">(((Inputs!B6+Inputs!B14+(Inputs!B34*Inputs!B37*(1-Inputs!B30))-(((Inputs!B16*(1+0.35)*Inputs!B15)*1*Inputs!B26*Inputs!B28+(Inputs!B16*(1+0.35)*Inputs!B15)*1*Inputs!B27*Inputs!B29)*(1-Inputs!B30)))/((Inputs!B7+((Inputs!B16*(1+0.35)*Inputs!B15)*(1-1)/Inputs!B8))*100))-(Inputs!B6/(Inputs!B7*100)))/(Inputs!B6/(Inputs!B7*100))</f>
        <v>-0.0777974930723662</v>
      </c>
    </row>
    <row r="23" customFormat="false" ht="18" hidden="false" customHeight="true" outlineLevel="0" collapsed="false">
      <c r="B23" s="76" t="n">
        <v>0.4</v>
      </c>
      <c r="C23" s="71" t="n">
        <f aca="false">(((Inputs!B6+Inputs!B14+(Inputs!B34*Inputs!B37*(1-Inputs!B30))-(((Inputs!B16*(1+0.4)*Inputs!B15)*0*Inputs!B26*Inputs!B28+(Inputs!B16*(1+0.4)*Inputs!B15)*0*Inputs!B27*Inputs!B29)*(1-Inputs!B30)))/((Inputs!B7+((Inputs!B16*(1+0.4)*Inputs!B15)*(1-0)/Inputs!B8))*100))-(Inputs!B6/(Inputs!B7*100)))/(Inputs!B6/(Inputs!B7*100))</f>
        <v>-0.0481818363651206</v>
      </c>
      <c r="D23" s="71" t="n">
        <f aca="false">(((Inputs!B6+Inputs!B14+(Inputs!B34*Inputs!B37*(1-Inputs!B30))-(((Inputs!B16*(1+0.4)*Inputs!B15)*0.1*Inputs!B26*Inputs!B28+(Inputs!B16*(1+0.4)*Inputs!B15)*0.1*Inputs!B27*Inputs!B29)*(1-Inputs!B30)))/((Inputs!B7+((Inputs!B16*(1+0.4)*Inputs!B15)*(1-0.1)/Inputs!B8))*100))-(Inputs!B6/(Inputs!B7*100)))/(Inputs!B6/(Inputs!B7*100))</f>
        <v>-0.0513834602313643</v>
      </c>
      <c r="E23" s="71" t="n">
        <f aca="false">(((Inputs!B6+Inputs!B14+(Inputs!B34*Inputs!B37*(1-Inputs!B30))-(((Inputs!B16*(1+0.4)*Inputs!B15)*0.2*Inputs!B26*Inputs!B28+(Inputs!B16*(1+0.4)*Inputs!B15)*0.2*Inputs!B27*Inputs!B29)*(1-Inputs!B30)))/((Inputs!B7+((Inputs!B16*(1+0.4)*Inputs!B15)*(1-0.2)/Inputs!B8))*100))-(Inputs!B6/(Inputs!B7*100)))/(Inputs!B6/(Inputs!B7*100))</f>
        <v>-0.054696674676867</v>
      </c>
      <c r="F23" s="71" t="n">
        <f aca="false">(((Inputs!B6+Inputs!B14+(Inputs!B34*Inputs!B37*(1-Inputs!B30))-(((Inputs!B16*(1+0.4)*Inputs!B15)*0.3*Inputs!B26*Inputs!B28+(Inputs!B16*(1+0.4)*Inputs!B15)*0.3*Inputs!B27*Inputs!B29)*(1-Inputs!B30)))/((Inputs!B7+((Inputs!B16*(1+0.4)*Inputs!B15)*(1-0.3)/Inputs!B8))*100))-(Inputs!B6/(Inputs!B7*100)))/(Inputs!B6/(Inputs!B7*100))</f>
        <v>-0.0581274173061789</v>
      </c>
      <c r="G23" s="71" t="n">
        <f aca="false">(((Inputs!B6+Inputs!B14+(Inputs!B34*Inputs!B37*(1-Inputs!B30))-(((Inputs!B16*(1+0.4)*Inputs!B15)*0.4*Inputs!B26*Inputs!B28+(Inputs!B16*(1+0.4)*Inputs!B15)*0.4*Inputs!B27*Inputs!B29)*(1-Inputs!B30)))/((Inputs!B7+((Inputs!B16*(1+0.4)*Inputs!B15)*(1-0.4)/Inputs!B8))*100))-(Inputs!B6/(Inputs!B7*100)))/(Inputs!B6/(Inputs!B7*100))</f>
        <v>-0.0616820545740718</v>
      </c>
      <c r="H23" s="71" t="n">
        <f aca="false">(((Inputs!B6+Inputs!B14+(Inputs!B34*Inputs!B37*(1-Inputs!B30))-(((Inputs!B16*(1+0.4)*Inputs!B15)*0.5*Inputs!B26*Inputs!B28+(Inputs!B16*(1+0.4)*Inputs!B15)*0.5*Inputs!B27*Inputs!B29)*(1-Inputs!B30)))/((Inputs!B7+((Inputs!B16*(1+0.4)*Inputs!B15)*(1-0.5)/Inputs!B8))*100))-(Inputs!B6/(Inputs!B7*100)))/(Inputs!B6/(Inputs!B7*100))</f>
        <v>-0.0653674212152459</v>
      </c>
      <c r="I23" s="71" t="n">
        <f aca="false">(((Inputs!B6+Inputs!B14+(Inputs!B34*Inputs!B37*(1-Inputs!B30))-(((Inputs!B16*(1+0.4)*Inputs!B15)*0.6*Inputs!B26*Inputs!B28+(Inputs!B16*(1+0.4)*Inputs!B15)*0.6*Inputs!B27*Inputs!B29)*(1-Inputs!B30)))/((Inputs!B7+((Inputs!B16*(1+0.4)*Inputs!B15)*(1-0.6)/Inputs!B8))*100))-(Inputs!B6/(Inputs!B7*100)))/(Inputs!B6/(Inputs!B7*100))</f>
        <v>-0.0691908641058659</v>
      </c>
      <c r="J23" s="71" t="n">
        <f aca="false">(((Inputs!B6+Inputs!B14+(Inputs!B34*Inputs!B37*(1-Inputs!B30))-(((Inputs!B16*(1+0.4)*Inputs!B15)*0.7*Inputs!B26*Inputs!B28+(Inputs!B16*(1+0.4)*Inputs!B15)*0.7*Inputs!B27*Inputs!B29)*(1-Inputs!B30)))/((Inputs!B7+((Inputs!B16*(1+0.4)*Inputs!B15)*(1-0.7)/Inputs!B8))*100))-(Inputs!B6/(Inputs!B7*100)))/(Inputs!B6/(Inputs!B7*100))</f>
        <v>-0.0731602911491712</v>
      </c>
      <c r="K23" s="71" t="n">
        <f aca="false">(((Inputs!B6+Inputs!B14+(Inputs!B34*Inputs!B37*(1-Inputs!B30))-(((Inputs!B16*(1+0.4)*Inputs!B15)*0.8*Inputs!B26*Inputs!B28+(Inputs!B16*(1+0.4)*Inputs!B15)*0.8*Inputs!B27*Inputs!B29)*(1-Inputs!B30)))/((Inputs!B7+((Inputs!B16*(1+0.4)*Inputs!B15)*(1-0.8)/Inputs!B8))*100))-(Inputs!B6/(Inputs!B7*100)))/(Inputs!B6/(Inputs!B7*100))</f>
        <v>-0.0772842258696223</v>
      </c>
      <c r="L23" s="71" t="n">
        <f aca="false">(((Inputs!B6+Inputs!B14+(Inputs!B34*Inputs!B37*(1-Inputs!B30))-(((Inputs!B16*(1+0.4)*Inputs!B15)*0.9*Inputs!B26*Inputs!B28+(Inputs!B16*(1+0.4)*Inputs!B15)*0.9*Inputs!B27*Inputs!B29)*(1-Inputs!B30)))/((Inputs!B7+((Inputs!B16*(1+0.4)*Inputs!B15)*(1-0.9)/Inputs!B8))*100))-(Inputs!B6/(Inputs!B7*100)))/(Inputs!B6/(Inputs!B7*100))</f>
        <v>-0.0815718685087194</v>
      </c>
      <c r="M23" s="71" t="n">
        <f aca="false">(((Inputs!B6+Inputs!B14+(Inputs!B34*Inputs!B37*(1-Inputs!B30))-(((Inputs!B16*(1+0.4)*Inputs!B15)*1*Inputs!B26*Inputs!B28+(Inputs!B16*(1+0.4)*Inputs!B15)*1*Inputs!B27*Inputs!B29)*(1-Inputs!B30)))/((Inputs!B7+((Inputs!B16*(1+0.4)*Inputs!B15)*(1-1)/Inputs!B8))*100))-(Inputs!B6/(Inputs!B7*100)))/(Inputs!B6/(Inputs!B7*100))</f>
        <v>-0.086033164544131</v>
      </c>
    </row>
    <row r="24" customFormat="false" ht="18" hidden="false" customHeight="true" outlineLevel="0" collapsed="false">
      <c r="B24" s="76" t="n">
        <v>0.45</v>
      </c>
      <c r="C24" s="71" t="n">
        <f aca="false">(((Inputs!B6+Inputs!B14+(Inputs!B34*Inputs!B37*(1-Inputs!B30))-(((Inputs!B16*(1+0.45)*Inputs!B15)*0*Inputs!B26*Inputs!B28+(Inputs!B16*(1+0.45)*Inputs!B15)*0*Inputs!B27*Inputs!B29)*(1-Inputs!B30)))/((Inputs!B7+((Inputs!B16*(1+0.45)*Inputs!B15)*(1-0)/Inputs!B8))*100))-(Inputs!B6/(Inputs!B7*100)))/(Inputs!B6/(Inputs!B7*100))</f>
        <v>-0.0538721966399078</v>
      </c>
      <c r="D24" s="71" t="n">
        <f aca="false">(((Inputs!B6+Inputs!B14+(Inputs!B34*Inputs!B37*(1-Inputs!B30))-(((Inputs!B16*(1+0.45)*Inputs!B15)*0.1*Inputs!B26*Inputs!B28+(Inputs!B16*(1+0.45)*Inputs!B15)*0.1*Inputs!B27*Inputs!B29)*(1-Inputs!B30)))/((Inputs!B7+((Inputs!B16*(1+0.45)*Inputs!B15)*(1-0.1)/Inputs!B8))*100))-(Inputs!B6/(Inputs!B7*100)))/(Inputs!B6/(Inputs!B7*100))</f>
        <v>-0.0572704042556494</v>
      </c>
      <c r="E24" s="71" t="n">
        <f aca="false">(((Inputs!B6+Inputs!B14+(Inputs!B34*Inputs!B37*(1-Inputs!B30))-(((Inputs!B16*(1+0.45)*Inputs!B15)*0.2*Inputs!B26*Inputs!B28+(Inputs!B16*(1+0.45)*Inputs!B15)*0.2*Inputs!B27*Inputs!B29)*(1-Inputs!B30)))/((Inputs!B7+((Inputs!B16*(1+0.45)*Inputs!B15)*(1-0.2)/Inputs!B8))*100))-(Inputs!B6/(Inputs!B7*100)))/(Inputs!B6/(Inputs!B7*100))</f>
        <v>-0.0607906765543091</v>
      </c>
      <c r="F24" s="71" t="n">
        <f aca="false">(((Inputs!B6+Inputs!B14+(Inputs!B34*Inputs!B37*(1-Inputs!B30))-(((Inputs!B16*(1+0.45)*Inputs!B15)*0.3*Inputs!B26*Inputs!B28+(Inputs!B16*(1+0.45)*Inputs!B15)*0.3*Inputs!B27*Inputs!B29)*(1-Inputs!B30)))/((Inputs!B7+((Inputs!B16*(1+0.45)*Inputs!B15)*(1-0.3)/Inputs!B8))*100))-(Inputs!B6/(Inputs!B7*100)))/(Inputs!B6/(Inputs!B7*100))</f>
        <v>-0.0644397107208964</v>
      </c>
      <c r="G24" s="71" t="n">
        <f aca="false">(((Inputs!B6+Inputs!B14+(Inputs!B34*Inputs!B37*(1-Inputs!B30))-(((Inputs!B16*(1+0.45)*Inputs!B15)*0.4*Inputs!B26*Inputs!B28+(Inputs!B16*(1+0.45)*Inputs!B15)*0.4*Inputs!B27*Inputs!B29)*(1-Inputs!B30)))/((Inputs!B7+((Inputs!B16*(1+0.45)*Inputs!B15)*(1-0.4)/Inputs!B8))*100))-(Inputs!B6/(Inputs!B7*100)))/(Inputs!B6/(Inputs!B7*100))</f>
        <v>-0.0682247029966488</v>
      </c>
      <c r="H24" s="71" t="n">
        <f aca="false">(((Inputs!B6+Inputs!B14+(Inputs!B34*Inputs!B37*(1-Inputs!B30))-(((Inputs!B16*(1+0.45)*Inputs!B15)*0.5*Inputs!B26*Inputs!B28+(Inputs!B16*(1+0.45)*Inputs!B15)*0.5*Inputs!B27*Inputs!B29)*(1-Inputs!B30)))/((Inputs!B7+((Inputs!B16*(1+0.45)*Inputs!B15)*(1-0.5)/Inputs!B8))*100))-(Inputs!B6/(Inputs!B7*100)))/(Inputs!B6/(Inputs!B7*100))</f>
        <v>-0.0721533960468708</v>
      </c>
      <c r="I24" s="71" t="n">
        <f aca="false">(((Inputs!B6+Inputs!B14+(Inputs!B34*Inputs!B37*(1-Inputs!B30))-(((Inputs!B16*(1+0.45)*Inputs!B15)*0.6*Inputs!B26*Inputs!B28+(Inputs!B16*(1+0.45)*Inputs!B15)*0.6*Inputs!B27*Inputs!B29)*(1-Inputs!B30)))/((Inputs!B7+((Inputs!B16*(1+0.45)*Inputs!B15)*(1-0.6)/Inputs!B8))*100))-(Inputs!B6/(Inputs!B7*100)))/(Inputs!B6/(Inputs!B7*100))</f>
        <v>-0.0762341318282682</v>
      </c>
      <c r="J24" s="71" t="n">
        <f aca="false">(((Inputs!B6+Inputs!B14+(Inputs!B34*Inputs!B37*(1-Inputs!B30))-(((Inputs!B16*(1+0.45)*Inputs!B15)*0.7*Inputs!B26*Inputs!B28+(Inputs!B16*(1+0.45)*Inputs!B15)*0.7*Inputs!B27*Inputs!B29)*(1-Inputs!B30)))/((Inputs!B7+((Inputs!B16*(1+0.45)*Inputs!B15)*(1-0.7)/Inputs!B8))*100))-(Inputs!B6/(Inputs!B7*100)))/(Inputs!B6/(Inputs!B7*100))</f>
        <v>-0.0804759107153846</v>
      </c>
      <c r="K24" s="71" t="n">
        <f aca="false">(((Inputs!B6+Inputs!B14+(Inputs!B34*Inputs!B37*(1-Inputs!B30))-(((Inputs!B16*(1+0.45)*Inputs!B15)*0.8*Inputs!B26*Inputs!B28+(Inputs!B16*(1+0.45)*Inputs!B15)*0.8*Inputs!B27*Inputs!B29)*(1-Inputs!B30)))/((Inputs!B7+((Inputs!B16*(1+0.45)*Inputs!B15)*(1-0.8)/Inputs!B8))*100))-(Inputs!B6/(Inputs!B7*100)))/(Inputs!B6/(Inputs!B7*100))</f>
        <v>-0.0848884577680857</v>
      </c>
      <c r="L24" s="71" t="n">
        <f aca="false">(((Inputs!B6+Inputs!B14+(Inputs!B34*Inputs!B37*(1-Inputs!B30))-(((Inputs!B16*(1+0.45)*Inputs!B15)*0.9*Inputs!B26*Inputs!B28+(Inputs!B16*(1+0.45)*Inputs!B15)*0.9*Inputs!B27*Inputs!B29)*(1-Inputs!B30)))/((Inputs!B7+((Inputs!B16*(1+0.45)*Inputs!B15)*(1-0.9)/Inputs!B8))*100))-(Inputs!B6/(Inputs!B7*100)))/(Inputs!B6/(Inputs!B7*100))</f>
        <v>-0.0894822971669716</v>
      </c>
      <c r="M24" s="71" t="n">
        <f aca="false">(((Inputs!B6+Inputs!B14+(Inputs!B34*Inputs!B37*(1-Inputs!B30))-(((Inputs!B16*(1+0.45)*Inputs!B15)*1*Inputs!B26*Inputs!B28+(Inputs!B16*(1+0.45)*Inputs!B15)*1*Inputs!B27*Inputs!B29)*(1-Inputs!B30)))/((Inputs!B7+((Inputs!B16*(1+0.45)*Inputs!B15)*(1-1)/Inputs!B8))*100))-(Inputs!B6/(Inputs!B7*100)))/(Inputs!B6/(Inputs!B7*100))</f>
        <v>-0.0942688360158959</v>
      </c>
    </row>
    <row r="26" customFormat="false" ht="18" hidden="false" customHeight="true" outlineLevel="0" collapsed="false">
      <c r="B26" s="77" t="s">
        <v>144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</row>
    <row r="27" customFormat="false" ht="18" hidden="false" customHeight="true" outlineLevel="0" collapsed="false">
      <c r="B27" s="78" t="s">
        <v>145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</row>
  </sheetData>
  <mergeCells count="8">
    <mergeCell ref="B1:M1"/>
    <mergeCell ref="B2:M2"/>
    <mergeCell ref="B4:M4"/>
    <mergeCell ref="B5:M5"/>
    <mergeCell ref="B15:M15"/>
    <mergeCell ref="B16:M16"/>
    <mergeCell ref="B26:M26"/>
    <mergeCell ref="B27:M27"/>
  </mergeCells>
  <conditionalFormatting sqref="C7:M13">
    <cfRule type="colorScale" priority="2">
      <colorScale>
        <cfvo type="num" val="-0.2"/>
        <cfvo type="num" val="0"/>
        <cfvo type="num" val="0.05"/>
        <color rgb="FFF4CCCC"/>
        <color rgb="FFFFFFFF"/>
        <color rgb="FFB7E1CD"/>
      </colorScale>
    </cfRule>
  </conditionalFormatting>
  <conditionalFormatting sqref="C18:M24">
    <cfRule type="colorScale" priority="3">
      <colorScale>
        <cfvo type="num" val="-0.2"/>
        <cfvo type="num" val="0"/>
        <cfvo type="num" val="0.05"/>
        <color rgb="FFF4CCCC"/>
        <color rgb="FFFFFFFF"/>
        <color rgb="FFB7E1C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28"/>
    <col collapsed="false" customWidth="true" hidden="false" outlineLevel="0" max="10" min="6" style="0" width="16"/>
    <col collapsed="false" customWidth="true" hidden="false" outlineLevel="0" max="11" min="11" style="0" width="4"/>
  </cols>
  <sheetData>
    <row r="1" customFormat="false" ht="30" hidden="false" customHeight="true" outlineLevel="0" collapsed="false">
      <c r="B1" s="2" t="s">
        <v>146</v>
      </c>
      <c r="C1" s="2"/>
      <c r="D1" s="2"/>
      <c r="E1" s="2"/>
      <c r="F1" s="2"/>
      <c r="G1" s="2"/>
      <c r="H1" s="2"/>
      <c r="I1" s="2"/>
      <c r="J1" s="2"/>
    </row>
    <row r="2" customFormat="false" ht="13.5" hidden="false" customHeight="true" outlineLevel="0" collapsed="false">
      <c r="B2" s="79" t="s">
        <v>147</v>
      </c>
      <c r="C2" s="79"/>
      <c r="D2" s="79"/>
      <c r="E2" s="79"/>
      <c r="F2" s="79"/>
      <c r="G2" s="79"/>
      <c r="H2" s="79"/>
      <c r="I2" s="79"/>
      <c r="J2" s="79"/>
    </row>
    <row r="3" customFormat="false" ht="7.5" hidden="false" customHeight="true" outlineLevel="0" collapsed="false"/>
    <row r="4" customFormat="false" ht="21.75" hidden="false" customHeight="true" outlineLevel="0" collapsed="false">
      <c r="B4" s="67" t="s">
        <v>148</v>
      </c>
      <c r="C4" s="67"/>
      <c r="D4" s="67"/>
      <c r="E4" s="67"/>
      <c r="F4" s="67"/>
      <c r="G4" s="67"/>
      <c r="H4" s="67"/>
      <c r="I4" s="67"/>
      <c r="J4" s="67"/>
    </row>
    <row r="5" customFormat="false" ht="18" hidden="false" customHeight="true" outlineLevel="0" collapsed="false">
      <c r="B5" s="80" t="s">
        <v>14</v>
      </c>
      <c r="C5" s="81" t="n">
        <f aca="false">Inputs!B11</f>
        <v>185000</v>
      </c>
    </row>
    <row r="6" customFormat="false" ht="18" hidden="false" customHeight="true" outlineLevel="0" collapsed="false">
      <c r="B6" s="82" t="s">
        <v>149</v>
      </c>
      <c r="C6" s="83" t="n">
        <f aca="false">Calculations!B8</f>
        <v>32195.90283</v>
      </c>
    </row>
    <row r="7" customFormat="false" ht="18" hidden="false" customHeight="true" outlineLevel="0" collapsed="false">
      <c r="B7" s="80" t="s">
        <v>150</v>
      </c>
      <c r="C7" s="81" t="n">
        <f aca="false">Inputs!B18</f>
        <v>48354</v>
      </c>
    </row>
    <row r="8" customFormat="false" ht="19.5" hidden="false" customHeight="true" outlineLevel="0" collapsed="false">
      <c r="B8" s="84" t="s">
        <v>151</v>
      </c>
      <c r="C8" s="85" t="n">
        <f aca="false">Inputs!B11+Calculations!B8+Inputs!B18</f>
        <v>265549.90283</v>
      </c>
    </row>
    <row r="9" customFormat="false" ht="7.5" hidden="false" customHeight="true" outlineLevel="0" collapsed="false"/>
    <row r="10" customFormat="false" ht="18" hidden="false" customHeight="true" outlineLevel="0" collapsed="false">
      <c r="B10" s="80" t="s">
        <v>152</v>
      </c>
      <c r="C10" s="81" t="n">
        <f aca="false">Inputs!B10</f>
        <v>24800</v>
      </c>
    </row>
    <row r="11" customFormat="false" ht="18" hidden="false" customHeight="true" outlineLevel="0" collapsed="false">
      <c r="B11" s="82" t="s">
        <v>153</v>
      </c>
      <c r="C11" s="83" t="n">
        <f aca="false">Inputs!B17</f>
        <v>4800</v>
      </c>
    </row>
    <row r="12" customFormat="false" ht="19.5" hidden="false" customHeight="true" outlineLevel="0" collapsed="false">
      <c r="B12" s="84" t="s">
        <v>154</v>
      </c>
      <c r="C12" s="85" t="n">
        <f aca="false">Inputs!B10+Inputs!B17</f>
        <v>29600</v>
      </c>
    </row>
    <row r="13" customFormat="false" ht="7.5" hidden="false" customHeight="true" outlineLevel="0" collapsed="false"/>
    <row r="14" customFormat="false" ht="21.75" hidden="false" customHeight="true" outlineLevel="0" collapsed="false">
      <c r="B14" s="86" t="s">
        <v>155</v>
      </c>
      <c r="C14" s="87" t="n">
        <f aca="false">Leverage!C8/Leverage!C12</f>
        <v>8.97128050101352</v>
      </c>
    </row>
    <row r="15" customFormat="false" ht="7.5" hidden="false" customHeight="true" outlineLevel="0" collapsed="false"/>
    <row r="16" customFormat="false" ht="21.75" hidden="false" customHeight="true" outlineLevel="0" collapsed="false">
      <c r="B16" s="67" t="s">
        <v>156</v>
      </c>
      <c r="C16" s="67"/>
      <c r="D16" s="67"/>
      <c r="E16" s="67"/>
      <c r="F16" s="67"/>
      <c r="G16" s="67"/>
      <c r="H16" s="67"/>
      <c r="I16" s="67"/>
      <c r="J16" s="67"/>
    </row>
    <row r="17" customFormat="false" ht="18" hidden="false" customHeight="true" outlineLevel="0" collapsed="false">
      <c r="B17" s="80" t="s">
        <v>157</v>
      </c>
      <c r="C17" s="88" t="n">
        <f aca="false">Inputs!B42</f>
        <v>8</v>
      </c>
    </row>
    <row r="18" customFormat="false" ht="18" hidden="false" customHeight="true" outlineLevel="0" collapsed="false">
      <c r="B18" s="82" t="s">
        <v>158</v>
      </c>
      <c r="C18" s="89" t="n">
        <f aca="false">Leverage!C14</f>
        <v>8.97128050101352</v>
      </c>
    </row>
    <row r="19" customFormat="false" ht="19.5" hidden="false" customHeight="true" outlineLevel="0" collapsed="false">
      <c r="B19" s="84" t="s">
        <v>159</v>
      </c>
      <c r="C19" s="90" t="n">
        <f aca="false">Inputs!B42-Leverage!C18</f>
        <v>-0.971280501013515</v>
      </c>
    </row>
    <row r="20" customFormat="false" ht="18" hidden="false" customHeight="true" outlineLevel="0" collapsed="false">
      <c r="B20" s="80" t="s">
        <v>160</v>
      </c>
      <c r="C20" s="81" t="n">
        <f aca="false">(Inputs!B42-Leverage!C18)*Leverage!C12</f>
        <v>-28749.9028300001</v>
      </c>
    </row>
    <row r="21" customFormat="false" ht="24" hidden="false" customHeight="true" outlineLevel="0" collapsed="false">
      <c r="B21" s="91" t="s">
        <v>161</v>
      </c>
      <c r="C21" s="92" t="str">
        <f aca="false">IF(C19&gt;1,"✔  SAFE  (headroom &gt; 1.0x)",IF(C19&gt;0.5,"⚠  WATCH  (headroom 0.5–1.0x)",IF(C19&gt;0,"✘  TIGHT  (headroom &lt; 0.5x)","✘  BREACH  (ratio exceeds threshold)")))</f>
        <v>✘  BREACH  (ratio exceeds threshold)</v>
      </c>
    </row>
    <row r="22" customFormat="false" ht="7.5" hidden="false" customHeight="true" outlineLevel="0" collapsed="false"/>
    <row r="23" customFormat="false" ht="21.75" hidden="false" customHeight="true" outlineLevel="0" collapsed="false">
      <c r="B23" s="93" t="s">
        <v>162</v>
      </c>
      <c r="C23" s="93"/>
      <c r="D23" s="93"/>
      <c r="E23" s="93"/>
      <c r="F23" s="93"/>
      <c r="G23" s="93"/>
      <c r="H23" s="93"/>
      <c r="I23" s="93"/>
      <c r="J23" s="93"/>
    </row>
    <row r="24" customFormat="false" ht="13.5" hidden="false" customHeight="true" outlineLevel="0" collapsed="false">
      <c r="B24" s="79" t="s">
        <v>163</v>
      </c>
      <c r="C24" s="79"/>
      <c r="D24" s="79"/>
      <c r="E24" s="79"/>
      <c r="F24" s="79"/>
      <c r="G24" s="79"/>
      <c r="H24" s="79"/>
      <c r="I24" s="79"/>
      <c r="J24" s="79"/>
    </row>
    <row r="25" customFormat="false" ht="19.5" hidden="false" customHeight="true" outlineLevel="0" collapsed="false">
      <c r="B25" s="94" t="s">
        <v>164</v>
      </c>
      <c r="C25" s="94" t="s">
        <v>165</v>
      </c>
      <c r="D25" s="94" t="s">
        <v>166</v>
      </c>
      <c r="E25" s="94" t="s">
        <v>167</v>
      </c>
      <c r="F25" s="94" t="s">
        <v>168</v>
      </c>
      <c r="G25" s="94" t="s">
        <v>169</v>
      </c>
    </row>
    <row r="26" customFormat="false" ht="18" hidden="false" customHeight="true" outlineLevel="0" collapsed="false">
      <c r="B26" s="95" t="s">
        <v>170</v>
      </c>
      <c r="C26" s="95" t="s">
        <v>171</v>
      </c>
      <c r="D26" s="95" t="s">
        <v>172</v>
      </c>
      <c r="E26" s="95" t="s">
        <v>173</v>
      </c>
      <c r="F26" s="95" t="s">
        <v>174</v>
      </c>
      <c r="G26" s="96" t="s">
        <v>175</v>
      </c>
    </row>
    <row r="27" customFormat="false" ht="18" hidden="false" customHeight="true" outlineLevel="0" collapsed="false">
      <c r="B27" s="97" t="s">
        <v>176</v>
      </c>
      <c r="C27" s="97" t="s">
        <v>177</v>
      </c>
      <c r="D27" s="97" t="s">
        <v>178</v>
      </c>
      <c r="E27" s="97" t="s">
        <v>173</v>
      </c>
      <c r="F27" s="97" t="s">
        <v>179</v>
      </c>
      <c r="G27" s="98" t="s">
        <v>175</v>
      </c>
    </row>
    <row r="28" customFormat="false" ht="18" hidden="false" customHeight="true" outlineLevel="0" collapsed="false">
      <c r="B28" s="95" t="s">
        <v>180</v>
      </c>
      <c r="C28" s="95" t="s">
        <v>181</v>
      </c>
      <c r="D28" s="95" t="s">
        <v>181</v>
      </c>
      <c r="E28" s="95" t="s">
        <v>173</v>
      </c>
      <c r="F28" s="95" t="s">
        <v>182</v>
      </c>
      <c r="G28" s="95" t="s">
        <v>183</v>
      </c>
    </row>
    <row r="29" customFormat="false" ht="7.5" hidden="false" customHeight="true" outlineLevel="0" collapsed="false"/>
    <row r="30" customFormat="false" ht="21.75" hidden="false" customHeight="true" outlineLevel="0" collapsed="false">
      <c r="B30" s="67" t="s">
        <v>184</v>
      </c>
      <c r="C30" s="67"/>
      <c r="D30" s="67"/>
      <c r="E30" s="67"/>
      <c r="F30" s="67"/>
      <c r="G30" s="67"/>
      <c r="H30" s="67"/>
      <c r="I30" s="67"/>
      <c r="J30" s="67"/>
    </row>
    <row r="31" customFormat="false" ht="18" hidden="false" customHeight="true" outlineLevel="0" collapsed="false">
      <c r="B31" s="80" t="s">
        <v>185</v>
      </c>
      <c r="C31" s="99" t="n">
        <v>0.12</v>
      </c>
    </row>
    <row r="32" customFormat="false" ht="18" hidden="false" customHeight="true" outlineLevel="0" collapsed="false">
      <c r="B32" s="82" t="s">
        <v>186</v>
      </c>
      <c r="C32" s="100" t="n">
        <v>0.05</v>
      </c>
    </row>
    <row r="33" customFormat="false" ht="7.5" hidden="false" customHeight="true" outlineLevel="0" collapsed="false"/>
    <row r="34" customFormat="false" ht="19.5" hidden="false" customHeight="true" outlineLevel="0" collapsed="false">
      <c r="B34" s="101" t="s">
        <v>99</v>
      </c>
      <c r="E34" s="101" t="s">
        <v>187</v>
      </c>
      <c r="F34" s="101" t="s">
        <v>76</v>
      </c>
      <c r="G34" s="101" t="s">
        <v>77</v>
      </c>
      <c r="H34" s="101" t="s">
        <v>78</v>
      </c>
      <c r="I34" s="101" t="s">
        <v>79</v>
      </c>
      <c r="J34" s="101" t="s">
        <v>80</v>
      </c>
    </row>
    <row r="35" customFormat="false" ht="18" hidden="false" customHeight="true" outlineLevel="0" collapsed="false">
      <c r="B35" s="80" t="s">
        <v>188</v>
      </c>
      <c r="E35" s="81" t="n">
        <f aca="false">Leverage!C12</f>
        <v>29600</v>
      </c>
      <c r="F35" s="81" t="n">
        <f aca="false">Leverage!E35*(1+Leverage!C31)^1</f>
        <v>33152</v>
      </c>
      <c r="G35" s="81" t="n">
        <f aca="false">Leverage!E35*(1+Leverage!C31)^2</f>
        <v>37130.24</v>
      </c>
      <c r="H35" s="81" t="n">
        <f aca="false">Leverage!E35*(1+Leverage!C31)^3</f>
        <v>41585.8688</v>
      </c>
      <c r="I35" s="81" t="n">
        <f aca="false">Leverage!E35*(1+Leverage!C31)^4</f>
        <v>46576.173056</v>
      </c>
      <c r="J35" s="81" t="n">
        <f aca="false">Leverage!E35*(1+Leverage!C31)^5</f>
        <v>52165.31382272</v>
      </c>
    </row>
    <row r="36" customFormat="false" ht="18" hidden="false" customHeight="true" outlineLevel="0" collapsed="false">
      <c r="B36" s="82" t="s">
        <v>189</v>
      </c>
      <c r="E36" s="83" t="n">
        <f aca="false">Leverage!C8</f>
        <v>265549.90283</v>
      </c>
      <c r="F36" s="83" t="n">
        <f aca="false">Leverage!E36*(1-Leverage!C32)^1</f>
        <v>252272.4076885</v>
      </c>
      <c r="G36" s="83" t="n">
        <f aca="false">Leverage!E36*(1-Leverage!C32)^2</f>
        <v>239658.787304075</v>
      </c>
      <c r="H36" s="83" t="n">
        <f aca="false">Leverage!E36*(1-Leverage!C32)^3</f>
        <v>227675.847938871</v>
      </c>
      <c r="I36" s="83" t="n">
        <f aca="false">Leverage!E36*(1-Leverage!C32)^4</f>
        <v>216292.055541928</v>
      </c>
      <c r="J36" s="83" t="n">
        <f aca="false">Leverage!E36*(1-Leverage!C32)^5</f>
        <v>205477.452764831</v>
      </c>
    </row>
    <row r="37" customFormat="false" ht="21.75" hidden="false" customHeight="true" outlineLevel="0" collapsed="false">
      <c r="B37" s="102" t="s">
        <v>190</v>
      </c>
      <c r="E37" s="103" t="n">
        <f aca="false">Leverage!E36/Leverage!E35</f>
        <v>8.97128050101352</v>
      </c>
      <c r="F37" s="103" t="n">
        <f aca="false">Leverage!F36/Leverage!F35</f>
        <v>7.60956828210968</v>
      </c>
      <c r="G37" s="103" t="n">
        <f aca="false">Leverage!G36/Leverage!G35</f>
        <v>6.45454452500374</v>
      </c>
      <c r="H37" s="103" t="n">
        <f aca="false">Leverage!H36/Leverage!H35</f>
        <v>5.4748368738871</v>
      </c>
      <c r="I37" s="103" t="n">
        <f aca="false">Leverage!I36/Leverage!I35</f>
        <v>4.64383484838638</v>
      </c>
      <c r="J37" s="103" t="n">
        <f aca="false">Leverage!J36/Leverage!J35</f>
        <v>3.93896705889916</v>
      </c>
    </row>
    <row r="38" customFormat="false" ht="18" hidden="false" customHeight="true" outlineLevel="0" collapsed="false">
      <c r="B38" s="80" t="s">
        <v>191</v>
      </c>
      <c r="E38" s="104" t="n">
        <f aca="false">Inputs!B42</f>
        <v>8</v>
      </c>
      <c r="F38" s="104" t="n">
        <f aca="false">Inputs!B42</f>
        <v>8</v>
      </c>
      <c r="G38" s="104" t="n">
        <f aca="false">Inputs!B42</f>
        <v>8</v>
      </c>
      <c r="H38" s="104" t="n">
        <f aca="false">Inputs!B42</f>
        <v>8</v>
      </c>
      <c r="I38" s="104" t="n">
        <f aca="false">Inputs!B42</f>
        <v>8</v>
      </c>
      <c r="J38" s="104" t="n">
        <f aca="false">Inputs!B42</f>
        <v>8</v>
      </c>
    </row>
    <row r="39" customFormat="false" ht="18" hidden="false" customHeight="true" outlineLevel="0" collapsed="false">
      <c r="B39" s="84" t="s">
        <v>192</v>
      </c>
      <c r="E39" s="90" t="n">
        <f aca="false">Leverage!E38-Leverage!E37</f>
        <v>-0.971280501013515</v>
      </c>
      <c r="F39" s="90" t="n">
        <f aca="false">Leverage!F38-Leverage!F37</f>
        <v>0.390431717890323</v>
      </c>
      <c r="G39" s="90" t="n">
        <f aca="false">Leverage!G38-Leverage!G37</f>
        <v>1.54545547499626</v>
      </c>
      <c r="H39" s="90" t="n">
        <f aca="false">Leverage!H38-Leverage!H37</f>
        <v>2.5251631261129</v>
      </c>
      <c r="I39" s="90" t="n">
        <f aca="false">Leverage!I38-Leverage!I37</f>
        <v>3.35616515161362</v>
      </c>
      <c r="J39" s="90" t="n">
        <f aca="false">Leverage!J38-Leverage!J37</f>
        <v>4.06103294110084</v>
      </c>
    </row>
    <row r="40" customFormat="false" ht="7.5" hidden="false" customHeight="true" outlineLevel="0" collapsed="false"/>
    <row r="41" customFormat="false" ht="18" hidden="false" customHeight="true" outlineLevel="0" collapsed="false">
      <c r="B41" s="105" t="s">
        <v>193</v>
      </c>
      <c r="C41" s="105"/>
      <c r="D41" s="105"/>
      <c r="E41" s="105"/>
      <c r="F41" s="105"/>
      <c r="G41" s="105"/>
      <c r="H41" s="105"/>
      <c r="I41" s="105"/>
      <c r="J41" s="105"/>
    </row>
  </sheetData>
  <mergeCells count="8">
    <mergeCell ref="B1:J1"/>
    <mergeCell ref="B2:J2"/>
    <mergeCell ref="B4:J4"/>
    <mergeCell ref="B16:J16"/>
    <mergeCell ref="B23:J23"/>
    <mergeCell ref="B24:J24"/>
    <mergeCell ref="B30:J30"/>
    <mergeCell ref="B41:J41"/>
  </mergeCells>
  <conditionalFormatting sqref="C21">
    <cfRule type="containsText" priority="2" operator="containsText" aboveAverage="0" equalAverage="0" bottom="0" percent="0" rank="0" text="BREACH" dxfId="2">
      <formula>NOT(ISERROR(SEARCH("BREACH",C21)))</formula>
    </cfRule>
    <cfRule type="containsText" priority="3" operator="containsText" aboveAverage="0" equalAverage="0" bottom="0" percent="0" rank="0" text="TIGHT" dxfId="2">
      <formula>NOT(ISERROR(SEARCH("TIGHT",C21)))</formula>
    </cfRule>
    <cfRule type="containsText" priority="4" operator="containsText" aboveAverage="0" equalAverage="0" bottom="0" percent="0" rank="0" text="WATCH" dxfId="3">
      <formula>NOT(ISERROR(SEARCH("WATCH",C21)))</formula>
    </cfRule>
    <cfRule type="containsText" priority="5" operator="containsText" aboveAverage="0" equalAverage="0" bottom="0" percent="0" rank="0" text="SAFE" dxfId="4">
      <formula>NOT(ISERROR(SEARCH("SAFE",C21)))</formula>
    </cfRule>
  </conditionalFormatting>
  <conditionalFormatting sqref="E39:J39">
    <cfRule type="colorScale" priority="6">
      <colorScale>
        <cfvo type="num" val="-1"/>
        <cfvo type="num" val="0"/>
        <cfvo type="num" val="2"/>
        <color rgb="FFF4CCCC"/>
        <color rgb="FFFFFFFF"/>
        <color rgb="FFB7E1CD"/>
      </colorScale>
    </cfRule>
  </conditionalFormatting>
  <conditionalFormatting sqref="E37:J37">
    <cfRule type="colorScale" priority="7">
      <colorScale>
        <cfvo type="num" val="5"/>
        <cfvo type="num" val="8"/>
        <cfvo type="num" val="12"/>
        <color rgb="FFB7E1CD"/>
        <color rgb="FFFFF2CC"/>
        <color rgb="FFF4CCC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0"/>
    <col collapsed="false" customWidth="true" hidden="false" outlineLevel="0" max="2" min="2" style="1" width="5"/>
  </cols>
  <sheetData>
    <row r="1" customFormat="false" ht="27.75" hidden="false" customHeight="true" outlineLevel="0" collapsed="false">
      <c r="A1" s="106" t="s">
        <v>194</v>
      </c>
      <c r="B1" s="106"/>
    </row>
    <row r="2" customFormat="false" ht="15" hidden="false" customHeight="true" outlineLevel="0" collapsed="false">
      <c r="A2" s="107" t="s">
        <v>195</v>
      </c>
    </row>
    <row r="3" customFormat="false" ht="15" hidden="false" customHeight="true" outlineLevel="0" collapsed="false">
      <c r="A3" s="108"/>
    </row>
    <row r="4" customFormat="false" ht="15" hidden="false" customHeight="true" outlineLevel="0" collapsed="false">
      <c r="A4" s="109" t="s">
        <v>196</v>
      </c>
    </row>
    <row r="5" customFormat="false" ht="15" hidden="false" customHeight="true" outlineLevel="0" collapsed="false">
      <c r="A5" s="108" t="s">
        <v>197</v>
      </c>
    </row>
    <row r="6" customFormat="false" ht="15" hidden="false" customHeight="true" outlineLevel="0" collapsed="false">
      <c r="A6" s="108"/>
    </row>
    <row r="7" customFormat="false" ht="15" hidden="false" customHeight="true" outlineLevel="0" collapsed="false">
      <c r="A7" s="109" t="s">
        <v>198</v>
      </c>
    </row>
    <row r="8" customFormat="false" ht="15" hidden="false" customHeight="true" outlineLevel="0" collapsed="false">
      <c r="A8" s="108" t="s">
        <v>199</v>
      </c>
    </row>
    <row r="9" customFormat="false" ht="15" hidden="false" customHeight="true" outlineLevel="0" collapsed="false">
      <c r="A9" s="108" t="s">
        <v>200</v>
      </c>
    </row>
    <row r="10" customFormat="false" ht="15" hidden="false" customHeight="true" outlineLevel="0" collapsed="false">
      <c r="A10" s="108"/>
    </row>
    <row r="11" customFormat="false" ht="15" hidden="false" customHeight="true" outlineLevel="0" collapsed="false">
      <c r="A11" s="110" t="s">
        <v>201</v>
      </c>
    </row>
    <row r="12" customFormat="false" ht="15" hidden="false" customHeight="true" outlineLevel="0" collapsed="false">
      <c r="A12" s="110" t="s">
        <v>202</v>
      </c>
    </row>
    <row r="13" customFormat="false" ht="15" hidden="false" customHeight="true" outlineLevel="0" collapsed="false">
      <c r="A13" s="110" t="s">
        <v>203</v>
      </c>
    </row>
    <row r="14" customFormat="false" ht="15" hidden="false" customHeight="true" outlineLevel="0" collapsed="false">
      <c r="A14" s="110" t="s">
        <v>204</v>
      </c>
    </row>
    <row r="15" customFormat="false" ht="15" hidden="false" customHeight="true" outlineLevel="0" collapsed="false">
      <c r="A15" s="110" t="s">
        <v>205</v>
      </c>
    </row>
    <row r="16" customFormat="false" ht="15" hidden="false" customHeight="true" outlineLevel="0" collapsed="false">
      <c r="A16" s="110" t="s">
        <v>206</v>
      </c>
    </row>
    <row r="17" customFormat="false" ht="15" hidden="false" customHeight="true" outlineLevel="0" collapsed="false">
      <c r="A17" s="110" t="s">
        <v>207</v>
      </c>
    </row>
    <row r="18" customFormat="false" ht="15" hidden="false" customHeight="true" outlineLevel="0" collapsed="false">
      <c r="A18" s="110" t="s">
        <v>208</v>
      </c>
    </row>
    <row r="19" customFormat="false" ht="15" hidden="false" customHeight="true" outlineLevel="0" collapsed="false">
      <c r="A19" s="108" t="s">
        <v>209</v>
      </c>
    </row>
    <row r="20" customFormat="false" ht="15" hidden="false" customHeight="true" outlineLevel="0" collapsed="false">
      <c r="A20" s="108"/>
    </row>
    <row r="21" customFormat="false" ht="15" hidden="false" customHeight="true" outlineLevel="0" collapsed="false">
      <c r="A21" s="109" t="s">
        <v>210</v>
      </c>
    </row>
    <row r="22" customFormat="false" ht="15" hidden="false" customHeight="true" outlineLevel="0" collapsed="false">
      <c r="A22" s="108" t="s">
        <v>211</v>
      </c>
    </row>
    <row r="23" customFormat="false" ht="15" hidden="false" customHeight="true" outlineLevel="0" collapsed="false">
      <c r="A23" s="108"/>
    </row>
    <row r="24" customFormat="false" ht="15" hidden="false" customHeight="true" outlineLevel="0" collapsed="false">
      <c r="A24" s="111" t="s">
        <v>201</v>
      </c>
    </row>
    <row r="25" customFormat="false" ht="15" hidden="false" customHeight="true" outlineLevel="0" collapsed="false">
      <c r="A25" s="111" t="s">
        <v>212</v>
      </c>
    </row>
    <row r="26" customFormat="false" ht="15" hidden="false" customHeight="true" outlineLevel="0" collapsed="false">
      <c r="A26" s="111" t="s">
        <v>203</v>
      </c>
    </row>
    <row r="27" customFormat="false" ht="15" hidden="false" customHeight="true" outlineLevel="0" collapsed="false">
      <c r="A27" s="111" t="s">
        <v>204</v>
      </c>
    </row>
    <row r="28" customFormat="false" ht="15" hidden="false" customHeight="true" outlineLevel="0" collapsed="false">
      <c r="A28" s="111" t="s">
        <v>205</v>
      </c>
    </row>
    <row r="29" customFormat="false" ht="15" hidden="false" customHeight="true" outlineLevel="0" collapsed="false">
      <c r="A29" s="111" t="s">
        <v>206</v>
      </c>
    </row>
    <row r="30" customFormat="false" ht="15" hidden="false" customHeight="true" outlineLevel="0" collapsed="false">
      <c r="A30" s="111" t="s">
        <v>207</v>
      </c>
    </row>
    <row r="31" customFormat="false" ht="15" hidden="false" customHeight="true" outlineLevel="0" collapsed="false">
      <c r="A31" s="111" t="s">
        <v>208</v>
      </c>
    </row>
    <row r="32" customFormat="false" ht="15" hidden="false" customHeight="true" outlineLevel="0" collapsed="false">
      <c r="A32" s="108" t="s">
        <v>213</v>
      </c>
    </row>
    <row r="33" customFormat="false" ht="15" hidden="false" customHeight="true" outlineLevel="0" collapsed="false">
      <c r="A33" s="108"/>
    </row>
    <row r="34" customFormat="false" ht="15" hidden="false" customHeight="true" outlineLevel="0" collapsed="false">
      <c r="A34" s="109" t="s">
        <v>214</v>
      </c>
    </row>
    <row r="35" customFormat="false" ht="15" hidden="false" customHeight="true" outlineLevel="0" collapsed="false">
      <c r="A35" s="108" t="s">
        <v>215</v>
      </c>
    </row>
    <row r="36" customFormat="false" ht="15" hidden="false" customHeight="true" outlineLevel="0" collapsed="false">
      <c r="A36" s="108" t="s">
        <v>216</v>
      </c>
    </row>
    <row r="37" customFormat="false" ht="15" hidden="false" customHeight="true" outlineLevel="0" collapsed="false">
      <c r="A37" s="108" t="s">
        <v>217</v>
      </c>
    </row>
    <row r="38" customFormat="false" ht="15" hidden="false" customHeight="true" outlineLevel="0" collapsed="false">
      <c r="A38" s="108" t="s">
        <v>218</v>
      </c>
    </row>
    <row r="39" customFormat="false" ht="15" hidden="false" customHeight="true" outlineLevel="0" collapsed="false">
      <c r="A39" s="108" t="s">
        <v>219</v>
      </c>
    </row>
    <row r="40" customFormat="false" ht="15" hidden="false" customHeight="true" outlineLevel="0" collapsed="false">
      <c r="A40" s="108" t="s">
        <v>220</v>
      </c>
    </row>
    <row r="41" customFormat="false" ht="15" hidden="false" customHeight="true" outlineLevel="0" collapsed="false">
      <c r="A41" s="108" t="s">
        <v>221</v>
      </c>
    </row>
    <row r="42" customFormat="false" ht="15" hidden="false" customHeight="true" outlineLevel="0" collapsed="false">
      <c r="A42" s="108"/>
    </row>
    <row r="43" customFormat="false" ht="15" hidden="false" customHeight="true" outlineLevel="0" collapsed="false">
      <c r="A43" s="109" t="s">
        <v>222</v>
      </c>
    </row>
    <row r="44" customFormat="false" ht="15" hidden="false" customHeight="true" outlineLevel="0" collapsed="false">
      <c r="A44" s="108" t="s">
        <v>223</v>
      </c>
    </row>
    <row r="45" customFormat="false" ht="15" hidden="false" customHeight="true" outlineLevel="0" collapsed="false">
      <c r="A45" s="108" t="s">
        <v>224</v>
      </c>
    </row>
    <row r="46" customFormat="false" ht="15" hidden="false" customHeight="true" outlineLevel="0" collapsed="false">
      <c r="A46" s="108"/>
    </row>
    <row r="47" customFormat="false" ht="15" hidden="false" customHeight="true" outlineLevel="0" collapsed="false">
      <c r="A47" s="112" t="s">
        <v>225</v>
      </c>
    </row>
    <row r="48" customFormat="false" ht="15" hidden="false" customHeight="true" outlineLevel="0" collapsed="false">
      <c r="A48" s="112" t="s">
        <v>226</v>
      </c>
    </row>
    <row r="49" customFormat="false" ht="15" hidden="false" customHeight="true" outlineLevel="0" collapsed="false">
      <c r="A49" s="112" t="s">
        <v>227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2026-06-19T13:37:15Z</dcterms:created>
  <dc:creator>openpyxl</dc:creator>
  <dc:description/>
  <dc:language>en-US</dc:language>
  <cp:lastModifiedBy/>
  <dcterms:modified xsi:type="dcterms:W3CDTF">2026-06-19T20:28:06Z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